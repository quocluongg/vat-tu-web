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  <Override PartName="/xl/documenttasks/documenttask2.xml" ContentType="application/vnd.ms-excel.documenttasks+xml"/>
  <Override PartName="/xl/threadedComments/threadedComment2.xml" ContentType="application/vnd.ms-excel.threadedcomments+xml"/>
  <Override PartName="/xl/documenttasks/documenttask3.xml" ContentType="application/vnd.ms-excel.documenttasks+xml"/>
  <Override PartName="/xl/threadedComments/threadedComment3.xml" ContentType="application/vnd.ms-excel.threadedcomments+xml"/>
  <Override PartName="/xl/documenttasks/documenttask4.xml" ContentType="application/vnd.ms-excel.documenttasks+xml"/>
  <Override PartName="/xl/threadedComments/threadedComment4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B07D0D6-30FD-4C1B-A26D-CEACBB28FB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ật tư Điện công nghiệp" sheetId="1" r:id="rId1"/>
    <sheet name="Thiết bị Điện công nghiệp" sheetId="2" r:id="rId2"/>
    <sheet name="Vật tư Điện tử" sheetId="3" r:id="rId3"/>
    <sheet name="Thiết bị Điện tử" sheetId="4" r:id="rId4"/>
    <sheet name="Vật tư Cơ điện tử" sheetId="5" r:id="rId5"/>
    <sheet name="Thiết bị Cơ điện tử" sheetId="6" r:id="rId6"/>
    <sheet name="Vật tư Nhiệt - Lạnh" sheetId="7" r:id="rId7"/>
    <sheet name="Thiết bị Nhiệt - Lạnh" sheetId="8" r:id="rId8"/>
    <sheet name="Dùng chung" sheetId="9" r:id="rId9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8" i="9" l="1"/>
  <c r="K148" i="9"/>
  <c r="J148" i="9"/>
  <c r="I148" i="9"/>
  <c r="H148" i="9"/>
  <c r="G148" i="9"/>
  <c r="L147" i="9"/>
  <c r="L146" i="9"/>
  <c r="L145" i="9"/>
  <c r="L144" i="9"/>
  <c r="L143" i="9"/>
  <c r="L142" i="9"/>
  <c r="L141" i="9"/>
  <c r="L140" i="9"/>
  <c r="L139" i="9"/>
  <c r="L138" i="9"/>
  <c r="L137" i="9"/>
  <c r="L136" i="9"/>
  <c r="L135" i="9"/>
  <c r="L134" i="9"/>
  <c r="L133" i="9"/>
  <c r="L132" i="9"/>
  <c r="L131" i="9"/>
  <c r="L130" i="9"/>
  <c r="L129" i="9"/>
  <c r="L128" i="9"/>
  <c r="L127" i="9"/>
  <c r="L126" i="9"/>
  <c r="L125" i="9"/>
  <c r="L124" i="9"/>
  <c r="L123" i="9"/>
  <c r="L122" i="9"/>
  <c r="L121" i="9"/>
  <c r="L120" i="9"/>
  <c r="L119" i="9"/>
  <c r="L118" i="9"/>
  <c r="L117" i="9"/>
  <c r="L116" i="9"/>
  <c r="L115" i="9"/>
  <c r="L114" i="9"/>
  <c r="L113" i="9"/>
  <c r="L112" i="9"/>
  <c r="L111" i="9"/>
  <c r="L110" i="9"/>
  <c r="L109" i="9"/>
  <c r="L108" i="9"/>
  <c r="L107" i="9"/>
  <c r="L106" i="9"/>
  <c r="L105" i="9"/>
  <c r="L104" i="9"/>
  <c r="L103" i="9"/>
  <c r="L102" i="9"/>
  <c r="L101" i="9"/>
  <c r="L100" i="9"/>
  <c r="L99" i="9"/>
  <c r="L98" i="9"/>
  <c r="L97" i="9"/>
  <c r="L96" i="9"/>
  <c r="L95" i="9"/>
  <c r="L94" i="9"/>
  <c r="L93" i="9"/>
  <c r="L92" i="9"/>
  <c r="L91" i="9"/>
  <c r="L90" i="9"/>
  <c r="L89" i="9"/>
  <c r="L88" i="9"/>
  <c r="L87" i="9"/>
  <c r="L86" i="9"/>
  <c r="L85" i="9"/>
  <c r="L84" i="9"/>
  <c r="L83" i="9"/>
  <c r="L82" i="9"/>
  <c r="L81" i="9"/>
  <c r="L80" i="9"/>
  <c r="L79" i="9"/>
  <c r="L78" i="9"/>
  <c r="L77" i="9"/>
  <c r="L76" i="9"/>
  <c r="L75" i="9"/>
  <c r="L74" i="9"/>
  <c r="L73" i="9"/>
  <c r="L72" i="9"/>
  <c r="L71" i="9"/>
  <c r="L70" i="9"/>
  <c r="L69" i="9"/>
  <c r="L68" i="9"/>
  <c r="L67" i="9"/>
  <c r="L66" i="9"/>
  <c r="L65" i="9"/>
  <c r="L64" i="9"/>
  <c r="L63" i="9"/>
  <c r="L62" i="9"/>
  <c r="L61" i="9"/>
  <c r="L60" i="9"/>
  <c r="L59" i="9"/>
  <c r="L58" i="9"/>
  <c r="L57" i="9"/>
  <c r="L56" i="9"/>
  <c r="L55" i="9"/>
  <c r="L54" i="9"/>
  <c r="L53" i="9"/>
  <c r="L52" i="9"/>
  <c r="L51" i="9"/>
  <c r="L50" i="9"/>
  <c r="L49" i="9"/>
  <c r="L48" i="9"/>
  <c r="L47" i="9"/>
  <c r="L46" i="9"/>
  <c r="L45" i="9"/>
  <c r="L44" i="9"/>
  <c r="L43" i="9"/>
  <c r="L42" i="9"/>
  <c r="L41" i="9"/>
  <c r="L40" i="9"/>
  <c r="L39" i="9"/>
  <c r="L38" i="9"/>
  <c r="L37" i="9"/>
  <c r="L36" i="9"/>
  <c r="L35" i="9"/>
  <c r="L34" i="9"/>
  <c r="L33" i="9"/>
  <c r="L32" i="9"/>
  <c r="L31" i="9"/>
  <c r="L30" i="9"/>
  <c r="L29" i="9"/>
  <c r="L28" i="9"/>
  <c r="L27" i="9"/>
  <c r="L26" i="9"/>
  <c r="L25" i="9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L148" i="9" s="1"/>
  <c r="M45" i="8"/>
  <c r="K45" i="8"/>
  <c r="J45" i="8"/>
  <c r="I45" i="8"/>
  <c r="H45" i="8"/>
  <c r="G45" i="8"/>
  <c r="L21" i="8"/>
  <c r="L20" i="8"/>
  <c r="L19" i="8"/>
  <c r="L18" i="8"/>
  <c r="L17" i="8"/>
  <c r="L16" i="8"/>
  <c r="L15" i="8"/>
  <c r="L14" i="8"/>
  <c r="L13" i="8"/>
  <c r="L12" i="8"/>
  <c r="L11" i="8"/>
  <c r="L10" i="8"/>
  <c r="L45" i="8" s="1"/>
  <c r="M40" i="7"/>
  <c r="K40" i="7"/>
  <c r="J40" i="7"/>
  <c r="I40" i="7"/>
  <c r="H40" i="7"/>
  <c r="G40" i="7"/>
  <c r="L35" i="7"/>
  <c r="L34" i="7"/>
  <c r="L33" i="7"/>
  <c r="L32" i="7"/>
  <c r="L31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40" i="7" s="1"/>
  <c r="L10" i="7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35" i="5"/>
  <c r="L134" i="5"/>
  <c r="L133" i="5"/>
  <c r="L132" i="5"/>
  <c r="L131" i="5"/>
  <c r="L130" i="5"/>
  <c r="L129" i="5"/>
  <c r="L128" i="5"/>
  <c r="L127" i="5"/>
  <c r="L126" i="5"/>
  <c r="L125" i="5"/>
  <c r="L124" i="5"/>
  <c r="L123" i="5"/>
  <c r="L122" i="5"/>
  <c r="L121" i="5"/>
  <c r="L120" i="5"/>
  <c r="L119" i="5"/>
  <c r="L118" i="5"/>
  <c r="L117" i="5"/>
  <c r="L116" i="5"/>
  <c r="L115" i="5"/>
  <c r="L114" i="5"/>
  <c r="L113" i="5"/>
  <c r="L112" i="5"/>
  <c r="L111" i="5"/>
  <c r="L110" i="5"/>
  <c r="L109" i="5"/>
  <c r="L108" i="5"/>
  <c r="L107" i="5"/>
  <c r="L106" i="5"/>
  <c r="L105" i="5"/>
  <c r="L104" i="5"/>
  <c r="L103" i="5"/>
  <c r="L102" i="5"/>
  <c r="L101" i="5"/>
  <c r="L100" i="5"/>
  <c r="L99" i="5"/>
  <c r="L98" i="5"/>
  <c r="L97" i="5"/>
  <c r="L96" i="5"/>
  <c r="L95" i="5"/>
  <c r="L94" i="5"/>
  <c r="L93" i="5"/>
  <c r="L92" i="5"/>
  <c r="L91" i="5"/>
  <c r="L90" i="5"/>
  <c r="L89" i="5"/>
  <c r="L88" i="5"/>
  <c r="L87" i="5"/>
  <c r="L86" i="5"/>
  <c r="L85" i="5"/>
  <c r="L84" i="5"/>
  <c r="L83" i="5"/>
  <c r="L82" i="5"/>
  <c r="L81" i="5"/>
  <c r="L80" i="5"/>
  <c r="L79" i="5"/>
  <c r="L78" i="5"/>
  <c r="L77" i="5"/>
  <c r="L76" i="5"/>
  <c r="L75" i="5"/>
  <c r="L74" i="5"/>
  <c r="L73" i="5"/>
  <c r="L72" i="5"/>
  <c r="L71" i="5"/>
  <c r="L70" i="5"/>
  <c r="L69" i="5"/>
  <c r="L68" i="5"/>
  <c r="L67" i="5"/>
  <c r="L66" i="5"/>
  <c r="L65" i="5"/>
  <c r="L64" i="5"/>
  <c r="L63" i="5"/>
  <c r="L62" i="5"/>
  <c r="L61" i="5"/>
  <c r="L60" i="5"/>
  <c r="L59" i="5"/>
  <c r="L58" i="5"/>
  <c r="L57" i="5"/>
  <c r="L56" i="5"/>
  <c r="L55" i="5"/>
  <c r="L54" i="5"/>
  <c r="L53" i="5"/>
  <c r="L52" i="5"/>
  <c r="L51" i="5"/>
  <c r="L50" i="5"/>
  <c r="L49" i="5"/>
  <c r="L48" i="5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M80" i="2"/>
  <c r="K80" i="2"/>
  <c r="J80" i="2"/>
  <c r="I80" i="2"/>
  <c r="H80" i="2"/>
  <c r="G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80" i="2" s="1"/>
  <c r="L16" i="2"/>
  <c r="L15" i="2"/>
  <c r="L14" i="2"/>
  <c r="L13" i="2"/>
  <c r="L12" i="2"/>
  <c r="L11" i="2"/>
  <c r="L10" i="2"/>
  <c r="M84" i="1"/>
  <c r="K84" i="1"/>
  <c r="J84" i="1"/>
  <c r="I84" i="1"/>
  <c r="H84" i="1"/>
  <c r="G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20" i="1"/>
  <c r="L19" i="1"/>
  <c r="L18" i="1"/>
  <c r="L17" i="1"/>
  <c r="L16" i="1"/>
  <c r="L15" i="1"/>
  <c r="L14" i="1"/>
  <c r="L13" i="1"/>
  <c r="L12" i="1"/>
  <c r="L11" i="1"/>
  <c r="L10" i="1"/>
  <c r="L8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tc={27b0c63e-5b16-4887-9f65-f07ab77bd9e9}</author>
    <author>tc={2f726fcd-7252-4d39-b43e-19cb2991534b}</author>
    <author>tc={abdf7b60-5574-4c45-82ef-119d3f84e826}</author>
    <author>tc={f91387cf-3d30-434d-bce2-fb28113de0a1}</author>
    <author>tc={b687f859-b86d-4f20-9650-11b36bc27d83}</author>
    <author>tc={73fb203d-988d-4a72-bb49-8f9a116633ce}</author>
  </authors>
  <commentList>
    <comment ref="A1" authorId="0" shapeId="0" xr:uid="{27B0C63E-5B16-4887-9F65-F07AB77BD9E9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Dung tích bình?
</t>
        </r>
      </text>
    </comment>
    <comment ref="C21" authorId="1" shapeId="0" xr:uid="{2F726FCD-7252-4D39-B43E-19CB2991534B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Thống nhất tên theo Qui ước?
</t>
        </r>
      </text>
    </comment>
    <comment ref="C40" authorId="2" shapeId="0" xr:uid="{ABDF7B60-5574-4C45-82EF-119D3F84E826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Tên vật tư: Dây CV, Quy Cách: 1mm màu đỏ và màu xanh
</t>
        </r>
      </text>
    </comment>
    <comment ref="C41" authorId="3" shapeId="0" xr:uid="{F91387CF-3D30-434D-BCE2-FB28113DE0A1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Thay dây CV 1.5mm bằng dây 1mm
</t>
        </r>
      </text>
    </comment>
    <comment ref="E48" authorId="4" shapeId="0" xr:uid="{B687F859-B86D-4F20-9650-11B36BC27D83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Thống nhất đơn vị: m hay Mét
</t>
        </r>
      </text>
    </comment>
    <comment ref="D82" authorId="5" shapeId="0" xr:uid="{73FB203D-988D-4A72-BB49-8F9A116633CE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cung cấp thên thông tin hình dáng?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tc={a638b349-f2e3-43a7-9bc6-67c3876f83a2}</author>
  </authors>
  <commentList>
    <comment ref="D73" authorId="0" shapeId="0" xr:uid="{A638B349-F2E3-43A7-9BC6-67C3876F83A2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Kiểu bố trí chân?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tc={50c283c2-d50d-4deb-b7c8-261db26a2a3d}</author>
  </authors>
  <commentList>
    <comment ref="D118" authorId="0" shapeId="0" xr:uid="{50C283C2-D50D-4DEB-B7C8-261DB26A2A3D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Đường kính?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tc={dc3485d7-53eb-4ace-85da-3527e2c41557}</author>
    <author>tc={dd005e21-b9b2-4ce4-a231-21487c0346d8}</author>
  </authors>
  <commentList>
    <comment ref="C9" authorId="0" shapeId="0" xr:uid="{DC3485D7-53EB-4ACE-85DA-3527E2C41557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Vật tư này chưa đầy đủ theo đề xuất, T/C phụ trách giảng dạy bổ sung vào danh sách để rà soát, thống nhất.
</t>
        </r>
      </text>
    </comment>
    <comment ref="C35" authorId="1" shapeId="0" xr:uid="{DD005E21-B9B2-4CE4-A231-21487C0346D8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Cần bổ sung chủng loại ống?
</t>
        </r>
      </text>
    </comment>
  </commentList>
</comments>
</file>

<file path=xl/sharedStrings.xml><?xml version="1.0" encoding="utf-8"?>
<sst xmlns="http://schemas.openxmlformats.org/spreadsheetml/2006/main" count="4342" uniqueCount="793">
  <si>
    <t>TRƯỜNG CAO ĐẲNG NGHỀ VIỆT NAM - SINGAPORE</t>
  </si>
  <si>
    <t>Mẫu số: KK-VT-02/HK2</t>
  </si>
  <si>
    <t>KHOA / BỘ MÔN: ĐIỆN CÔNG NGHIỆP</t>
  </si>
  <si>
    <t xml:space="preserve">BẢNG KIỂM KÊ VẬT TƯ &amp; ĐỐI SOÁT HIỆU CHỈNH </t>
  </si>
  <si>
    <t>HỌC KỲ I - NĂM HỌC 2026 - 2027 - BỘ MÔN: ĐIỆN CÔNG NGHIỆP</t>
  </si>
  <si>
    <t>KHOA / BỘ MÔN: ĐIỆN TỬ</t>
  </si>
  <si>
    <t>(Tổng số danh mục: 243 vật tư | Ngày trích xuất: 25/9/2026 | Đơn vị tính số lượng: Theo danh mục vật tư)</t>
  </si>
  <si>
    <t xml:space="preserve">BẢNG KIỂM KÊ THIẾT BỊ &amp; ĐỐI SOÁT HIỆU CHỈNH </t>
  </si>
  <si>
    <t>THÔNG TIN VẬT TƯ</t>
  </si>
  <si>
    <t>HỌC KỲ I - NĂM HỌC 2025 - 2026 - BỘ MÔN: ĐIỆN TỬ</t>
  </si>
  <si>
    <t>(Tổng số danh mục: 183 vật tư | Ngày trích xuất: 25/9/2026 | Đơn vị tính số lượng: Theo danh mục vật tư)</t>
  </si>
  <si>
    <t>SỐ LIỆU SỔ SÁCH HỆ THỐNG</t>
  </si>
  <si>
    <t>KIỂM KÊ THỰC TẾ</t>
  </si>
  <si>
    <t>STT</t>
  </si>
  <si>
    <t>Mã VT
(ID)</t>
  </si>
  <si>
    <t>Tên vật tư</t>
  </si>
  <si>
    <t>Quy cách / Yêu cầu kỹ thuật</t>
  </si>
  <si>
    <t>Đơn vị
tính</t>
  </si>
  <si>
    <t>Ngành / Bộ môn</t>
  </si>
  <si>
    <t>Tồn kho
sổ sách</t>
  </si>
  <si>
    <t>Tổng
đề xuất</t>
  </si>
  <si>
    <t>Đã xuất
thực tế</t>
  </si>
  <si>
    <t>Đang chờ
xuất kho</t>
  </si>
  <si>
    <t>Số lượng
thực tế đếm</t>
  </si>
  <si>
    <t>Chênh lệch
(+Thừa / -Thiếu)</t>
  </si>
  <si>
    <t>Số sau
hiệu chỉnh</t>
  </si>
  <si>
    <t>Lý do chênh lệch
&amp; Phương án xử lý</t>
  </si>
  <si>
    <t>Ghi chú</t>
  </si>
  <si>
    <t>Điện trở</t>
  </si>
  <si>
    <t>0,47 Ohm; 1W</t>
  </si>
  <si>
    <t>Băng keo cách điện</t>
  </si>
  <si>
    <t>Con</t>
  </si>
  <si>
    <t>Đồng hồ VOM</t>
  </si>
  <si>
    <t>Vạn năng; Chỉ thị kim</t>
  </si>
  <si>
    <t>Điện tử</t>
  </si>
  <si>
    <t>Đen, rộng 18mm, dài 18m</t>
  </si>
  <si>
    <t>Ampe kế một chiều</t>
  </si>
  <si>
    <t>Cái</t>
  </si>
  <si>
    <t>Cuộn</t>
  </si>
  <si>
    <t>0-2A, DC</t>
  </si>
  <si>
    <t>Điện công nghiệp</t>
  </si>
  <si>
    <t>Thiết bị</t>
  </si>
  <si>
    <t>Bộ cáp nạp chương trình</t>
  </si>
  <si>
    <t>USB-PPI cho PLC s7-200</t>
  </si>
  <si>
    <t>Bộ</t>
  </si>
  <si>
    <t>USB-MPI cho PLC s7-300</t>
  </si>
  <si>
    <t>Bo nguồn</t>
  </si>
  <si>
    <t>DVD; 5V; 12V; 3A</t>
  </si>
  <si>
    <t/>
  </si>
  <si>
    <t>Ampe kế xoay chiều</t>
  </si>
  <si>
    <t>0-2A, AC</t>
  </si>
  <si>
    <t>Băng keo giấy</t>
  </si>
  <si>
    <t>3M, 20mmx27m</t>
  </si>
  <si>
    <t>10 Ohm; 1/4W</t>
  </si>
  <si>
    <t>Ampe kìm (hiển thị số)</t>
  </si>
  <si>
    <t>0-200A</t>
  </si>
  <si>
    <t>Băng vải</t>
  </si>
  <si>
    <t>Tổ ong; 12V; 5A</t>
  </si>
  <si>
    <t>Ceramic 1mm, 10mm x 10m</t>
  </si>
  <si>
    <t>100 Ohm; 1/4W</t>
  </si>
  <si>
    <t>Bảng điện nhựa</t>
  </si>
  <si>
    <t>300x200mm, VN</t>
  </si>
  <si>
    <t>Cầu chì ống 20mm</t>
  </si>
  <si>
    <t>0,5A</t>
  </si>
  <si>
    <t>100 Ohm; 1W</t>
  </si>
  <si>
    <t>Mạch nạp</t>
  </si>
  <si>
    <t>Pickit 2</t>
  </si>
  <si>
    <t>Bộ cáp nạp chương trình PLC s7-200</t>
  </si>
  <si>
    <t>USB-PPI</t>
  </si>
  <si>
    <t>2A</t>
  </si>
  <si>
    <t>220 Ohm; 1/4W</t>
  </si>
  <si>
    <t>Bo Arduino</t>
  </si>
  <si>
    <t>UNO R3; ATmega328 chân cắm</t>
  </si>
  <si>
    <t>Bộ lọc khí</t>
  </si>
  <si>
    <t>6 bar</t>
  </si>
  <si>
    <t>Cầu chì ống 300mm</t>
  </si>
  <si>
    <t>5A</t>
  </si>
  <si>
    <t>330 Ohm; 1/4W</t>
  </si>
  <si>
    <t>Module</t>
  </si>
  <si>
    <t>Wifi ESP32; NodeMCU; 32 chân</t>
  </si>
  <si>
    <t>Cầu chì ống 30mm</t>
  </si>
  <si>
    <t>10A</t>
  </si>
  <si>
    <t>390 Ohm; 1/4W</t>
  </si>
  <si>
    <t>Bóng đèn sợi dốt</t>
  </si>
  <si>
    <t>220V, 25W, đuôi xoay</t>
  </si>
  <si>
    <t>Chỉ đai</t>
  </si>
  <si>
    <t>470 Ohm; 1/4W</t>
  </si>
  <si>
    <t>Cảm biến quang BH1750</t>
  </si>
  <si>
    <t>Polyester ∅1mm, 200g</t>
  </si>
  <si>
    <t>Bóng đèn sợi đốt</t>
  </si>
  <si>
    <t>24V-8W</t>
  </si>
  <si>
    <t>560 Ohm; 1/4W</t>
  </si>
  <si>
    <t>Chì hàn</t>
  </si>
  <si>
    <t>Màn hình LCD 1602</t>
  </si>
  <si>
    <t>∅ 0,8mm, 63/37, 100g</t>
  </si>
  <si>
    <t>12V-8W</t>
  </si>
  <si>
    <t>820 Ohm; 1/4W</t>
  </si>
  <si>
    <t>Đầu cos Y</t>
  </si>
  <si>
    <t>I2C cho LCD; dùng PCF8574</t>
  </si>
  <si>
    <t>1.5mm2</t>
  </si>
  <si>
    <t>Bịch</t>
  </si>
  <si>
    <t>Cảm biến từ (gắn vào xy lanh)</t>
  </si>
  <si>
    <t>1K; 1/4W</t>
  </si>
  <si>
    <t>24V, 5A</t>
  </si>
  <si>
    <t>Điều khiển động cơ dùng L298</t>
  </si>
  <si>
    <t>2,5mm2</t>
  </si>
  <si>
    <t>Gói</t>
  </si>
  <si>
    <t>1,2K; 1/4W</t>
  </si>
  <si>
    <t>Cảm biến siêu âm SR04</t>
  </si>
  <si>
    <t xml:space="preserve">Ống dẫn khí </t>
  </si>
  <si>
    <t>∅ 4mm</t>
  </si>
  <si>
    <t>m</t>
  </si>
  <si>
    <t>Cầu chì nổi</t>
  </si>
  <si>
    <t>1,5K; 1/4W</t>
  </si>
  <si>
    <t>∅ 6mm</t>
  </si>
  <si>
    <t>8 led 7 đoạn dùng MAX7219; 0.36inch</t>
  </si>
  <si>
    <t>2,2K; 1/4W</t>
  </si>
  <si>
    <t>CB 1 Pha</t>
  </si>
  <si>
    <t>220V/15A</t>
  </si>
  <si>
    <t>Đầu nối nhanh</t>
  </si>
  <si>
    <t>ống ∅4mm; ren ngoài Ф10mm</t>
  </si>
  <si>
    <t>2,7K; 1/4W</t>
  </si>
  <si>
    <t>Công tắc cảm biến chuyển động hồng ngoại</t>
  </si>
  <si>
    <t>Cảm biến nhiệt độ, độ ẩm DHT22</t>
  </si>
  <si>
    <t>220V</t>
  </si>
  <si>
    <t>Kiểu chữ L; ống ∅4mm; ren ngoài Ф5mm</t>
  </si>
  <si>
    <t>3,3K; 1/4W</t>
  </si>
  <si>
    <t>ống ∅6mm; ren ngoài Ф10mm</t>
  </si>
  <si>
    <t>Công tắc hành trình</t>
  </si>
  <si>
    <t>Relay 4 Kênh; 5V</t>
  </si>
  <si>
    <t>10A, NC-NO</t>
  </si>
  <si>
    <t>ống ∅6mm; ren ngoài Ф13mm</t>
  </si>
  <si>
    <t>4,7K; 1/4W</t>
  </si>
  <si>
    <t>Bluetooth HC_06</t>
  </si>
  <si>
    <t>Đầu nối 1 chiều dùng cho van phân phối</t>
  </si>
  <si>
    <t>ống ∅4mm; ren ngoài Ф5mm</t>
  </si>
  <si>
    <t>Đầu nối T</t>
  </si>
  <si>
    <t>Công tắc hạt 2 cực</t>
  </si>
  <si>
    <t>10A, Sino,</t>
  </si>
  <si>
    <t>5,6K; 1/4W</t>
  </si>
  <si>
    <t>Điều khiển động cơ bước A4988</t>
  </si>
  <si>
    <t>Công tắc hạt 3 cực</t>
  </si>
  <si>
    <t>10A, Sino</t>
  </si>
  <si>
    <t>6,8K; 1/4W</t>
  </si>
  <si>
    <t>Thời gian thực DS1307</t>
  </si>
  <si>
    <t>Công tắc nỗi 2 cực</t>
  </si>
  <si>
    <t>10A, VN</t>
  </si>
  <si>
    <t>Đầu nối chia 4 ngã</t>
  </si>
  <si>
    <t>Công tắc nỗi 3 cực</t>
  </si>
  <si>
    <t>Breadboard</t>
  </si>
  <si>
    <t>8,2K; 1/4W</t>
  </si>
  <si>
    <t>ABS, 830 Lỗ</t>
  </si>
  <si>
    <t>Van tiết lưu</t>
  </si>
  <si>
    <t>1 đầu ghim ống 1 đầu ren ngoài; ∅ 4mm; ren ngoài ∅ 10</t>
  </si>
  <si>
    <t>Công tắc xoay 3 cực</t>
  </si>
  <si>
    <t>Ф 25mm</t>
  </si>
  <si>
    <t>1 đầu ghim ống 1 đầu ren ngoài; ∅ 6mm; ren ngoài ∅ 10</t>
  </si>
  <si>
    <t>10K; 1/4W</t>
  </si>
  <si>
    <t>Động cơ</t>
  </si>
  <si>
    <t>Công tắc xoay 3 vị trí</t>
  </si>
  <si>
    <t>DC encoder GA25_370</t>
  </si>
  <si>
    <t>Ф 25mm, 10A, NC-NO</t>
  </si>
  <si>
    <t>Jack bắp chuối</t>
  </si>
  <si>
    <t xml:space="preserve"> Cái; ∅ 4mm</t>
  </si>
  <si>
    <t>Contactor</t>
  </si>
  <si>
    <t>15K; 1/4W</t>
  </si>
  <si>
    <t>220VAC-18A</t>
  </si>
  <si>
    <t>Servo MG996; 180 độ</t>
  </si>
  <si>
    <t xml:space="preserve"> Đực; ∅ 4mm</t>
  </si>
  <si>
    <t>Jack cắm đực an toàn</t>
  </si>
  <si>
    <t>Van áp lực 5/2 2 trạng thái</t>
  </si>
  <si>
    <t>4 bar, ren Ф10mm
 STNC</t>
  </si>
  <si>
    <t>22K; 1/4W</t>
  </si>
  <si>
    <t>Dầu nhớt máy nén khí</t>
  </si>
  <si>
    <t>Cho máy nén khí 1 lít</t>
  </si>
  <si>
    <t>Lít</t>
  </si>
  <si>
    <t>Van điện từ 5/2 2 trạng thái</t>
  </si>
  <si>
    <t>24VDC/ 4 bar/ ren Ф10mm
 STNC TG2512-06</t>
  </si>
  <si>
    <t>24VDC/ 4 bar/ ren Ф10mm;  STNC TG2512-06</t>
  </si>
  <si>
    <t>Dây cáp 3Cx2.5+1cx1.5mm</t>
  </si>
  <si>
    <t>450/750v, Cadivi</t>
  </si>
  <si>
    <t>27K; 1/4W</t>
  </si>
  <si>
    <t>Van điện từ 5/2 2 trạng thái (SMC)</t>
  </si>
  <si>
    <t>24VDC/ 4 bar/ ren Ф10mm
 SY5220-5LOZ-01</t>
  </si>
  <si>
    <t>24VDC/ 4 bar/ ren Ф10mm;  SY5220-5LOZ-01</t>
  </si>
  <si>
    <t>33K; 1/4W</t>
  </si>
  <si>
    <t>Bộ lọc đôi khí nén, xả tự động</t>
  </si>
  <si>
    <t>STNC, TC2010-01</t>
  </si>
  <si>
    <t>Dây CV 1.0mm2 màu đen</t>
  </si>
  <si>
    <t>5A 
 OMRON z-15gw22-B</t>
  </si>
  <si>
    <t>39K; 1/4W</t>
  </si>
  <si>
    <t>Công tắc từ</t>
  </si>
  <si>
    <t>24VDC</t>
  </si>
  <si>
    <t>Dây CV 1.0mm2 màu đỏ</t>
  </si>
  <si>
    <t>5A; OMRON z-15gw22-B</t>
  </si>
  <si>
    <t>47K; 1/4W</t>
  </si>
  <si>
    <t>Dây CV 1.0mm2 màu xanh</t>
  </si>
  <si>
    <t>56K; 1/4W</t>
  </si>
  <si>
    <t>Đế âm đơn</t>
  </si>
  <si>
    <t>60x110mm</t>
  </si>
  <si>
    <t>68K; 1/4W</t>
  </si>
  <si>
    <t>Dây CV 1.5mm2 màu đen</t>
  </si>
  <si>
    <t>82K; 1/4W</t>
  </si>
  <si>
    <t>Dây CV 1.5mm2 màu đỏ</t>
  </si>
  <si>
    <t>Đế nổi đơn</t>
  </si>
  <si>
    <t>70x110mm, Sino</t>
  </si>
  <si>
    <t>100K; 1/4W</t>
  </si>
  <si>
    <t>Dây CV 1.5mm2 màu xanh</t>
  </si>
  <si>
    <t>Đế Timer (8 chân tròn)</t>
  </si>
  <si>
    <t>220V, 10A</t>
  </si>
  <si>
    <t>470K; 1/4W</t>
  </si>
  <si>
    <t>Đèn báo 220V(đỏ, vàng, xanh)</t>
  </si>
  <si>
    <t>D25mm, YongSung</t>
  </si>
  <si>
    <t>Dây CV 2.5mm2 màu đỏ</t>
  </si>
  <si>
    <t>1M; 1/4W</t>
  </si>
  <si>
    <t>Đèn led 24V</t>
  </si>
  <si>
    <t>Dây CV 2.5mm2 màu vàng</t>
  </si>
  <si>
    <t>470Ohm; SMD-0805</t>
  </si>
  <si>
    <t>Điện cảm</t>
  </si>
  <si>
    <t>L1=85mmH</t>
  </si>
  <si>
    <t>Dây CV 2.5mm2 màu xanh</t>
  </si>
  <si>
    <t>1K; SMD-0805</t>
  </si>
  <si>
    <t>Dây điện đôi VCm 2x24</t>
  </si>
  <si>
    <t>100K; SMD-0805</t>
  </si>
  <si>
    <t>L1=120mmH</t>
  </si>
  <si>
    <t>Dây điện đôi VCm 2x32</t>
  </si>
  <si>
    <t>Điện trở nhiệt</t>
  </si>
  <si>
    <t>PTC; 20K đến 33K</t>
  </si>
  <si>
    <t>L1=175mmH</t>
  </si>
  <si>
    <t>Dây điện từ</t>
  </si>
  <si>
    <t>∅ 0,5 mm</t>
  </si>
  <si>
    <t>Kg</t>
  </si>
  <si>
    <t>NTC; 20K đến 33K</t>
  </si>
  <si>
    <t>Điện trở sứ</t>
  </si>
  <si>
    <t>50Ω - 20W</t>
  </si>
  <si>
    <t>∅ 0,3 mm</t>
  </si>
  <si>
    <t>Điện trở quang</t>
  </si>
  <si>
    <t>CdS</t>
  </si>
  <si>
    <t>100Ω - 20W</t>
  </si>
  <si>
    <t>Dây đơn 0,5mm2</t>
  </si>
  <si>
    <t>250V</t>
  </si>
  <si>
    <t>Biến trở volume</t>
  </si>
  <si>
    <t>22Ω - 20W</t>
  </si>
  <si>
    <t>Dây đơn 16/10</t>
  </si>
  <si>
    <t>20K; 1/4W</t>
  </si>
  <si>
    <t>Domino</t>
  </si>
  <si>
    <t>4 cực - 20A</t>
  </si>
  <si>
    <t>Dây đơn 20/10</t>
  </si>
  <si>
    <t>50K; 1/4W</t>
  </si>
  <si>
    <t>6 cực - 20A</t>
  </si>
  <si>
    <t>Cái</t>
  </si>
  <si>
    <t>Dây rút 150mm</t>
  </si>
  <si>
    <t>150mm</t>
  </si>
  <si>
    <t>gói</t>
  </si>
  <si>
    <t>10 cực - 20A</t>
  </si>
  <si>
    <t>200K; 1/4W</t>
  </si>
  <si>
    <t>Giấy cách điện</t>
  </si>
  <si>
    <t>Polyester 0,3mm, 1m x 2m</t>
  </si>
  <si>
    <t>12 cực, 20A</t>
  </si>
  <si>
    <t>Tờ</t>
  </si>
  <si>
    <t>500K; 1/4W</t>
  </si>
  <si>
    <t>Polyester 0,1mm, 1m x 2m</t>
  </si>
  <si>
    <t>3 pha, 380V, 1500W</t>
  </si>
  <si>
    <t>Tụ điện</t>
  </si>
  <si>
    <t>22pF; 16V</t>
  </si>
  <si>
    <t>Hộp nối tròn 3 ngã</t>
  </si>
  <si>
    <t>D20</t>
  </si>
  <si>
    <t>Giấy nhám</t>
  </si>
  <si>
    <t>180, 230mmx28mm</t>
  </si>
  <si>
    <t>101; 16V</t>
  </si>
  <si>
    <t>Kìm tuốt dây đa năng</t>
  </si>
  <si>
    <t>AK-9106</t>
  </si>
  <si>
    <t>102; 16V</t>
  </si>
  <si>
    <t>Máng xương cá PVC</t>
  </si>
  <si>
    <t>(25x45x1700)mm</t>
  </si>
  <si>
    <t>Cây</t>
  </si>
  <si>
    <t>Kẹp ống PVC</t>
  </si>
  <si>
    <t>103; 16V</t>
  </si>
  <si>
    <t>Mặt công tắc 1 lỗ</t>
  </si>
  <si>
    <t>Sino</t>
  </si>
  <si>
    <t>Khớp nối ren</t>
  </si>
  <si>
    <t>473; 16V</t>
  </si>
  <si>
    <t>Mặt ổ cắm 1 lỗ</t>
  </si>
  <si>
    <t>Khuôn nhựa quấn MBA</t>
  </si>
  <si>
    <t xml:space="preserve"> (27x36x37)mm</t>
  </si>
  <si>
    <t>224; 16V</t>
  </si>
  <si>
    <t>MCB 1 Pha</t>
  </si>
  <si>
    <t>220V/16A</t>
  </si>
  <si>
    <t>1uF; 25V</t>
  </si>
  <si>
    <t>MCB 3 Pha</t>
  </si>
  <si>
    <t>380V/16A</t>
  </si>
  <si>
    <t>Nẹp 200x100mm</t>
  </si>
  <si>
    <t>Tiến Phát</t>
  </si>
  <si>
    <t>10uF; 25V</t>
  </si>
  <si>
    <t>Nút nhấn (Đỏ - Vàng - xanh)</t>
  </si>
  <si>
    <t>AC-250V-5A-D25, YongSung</t>
  </si>
  <si>
    <t>Nhựa thông</t>
  </si>
  <si>
    <t>50 Gram</t>
  </si>
  <si>
    <t>Nút nhấn 24V</t>
  </si>
  <si>
    <t>Ф 25mm - 24V</t>
  </si>
  <si>
    <t>47uF; 25V</t>
  </si>
  <si>
    <t>Ốc + tán φ4</t>
  </si>
  <si>
    <t>25mm</t>
  </si>
  <si>
    <t>Nút nhấn dừng khẩn cấp</t>
  </si>
  <si>
    <t>100uF; 25V</t>
  </si>
  <si>
    <t>Ống gen cách điện</t>
  </si>
  <si>
    <t>∅ 4mm, 60mm</t>
  </si>
  <si>
    <t>Sợi</t>
  </si>
  <si>
    <t>Ổ cắm nỗi 6 lỗ</t>
  </si>
  <si>
    <t>220uF; 25V</t>
  </si>
  <si>
    <t>∅ 1mm, 60mm</t>
  </si>
  <si>
    <t>Rơ le nhiệt</t>
  </si>
  <si>
    <t>18A, LS</t>
  </si>
  <si>
    <t>470uF; 25V</t>
  </si>
  <si>
    <t>∅ 6mm, 60mm</t>
  </si>
  <si>
    <t>1000uF; 25V</t>
  </si>
  <si>
    <t>Rơ le trung gian</t>
  </si>
  <si>
    <t>14 chân 220V</t>
  </si>
  <si>
    <t>∅ 2mm, 60mm</t>
  </si>
  <si>
    <t>Rơle bào vệ mất pha</t>
  </si>
  <si>
    <t>10uF; SMD-0805</t>
  </si>
  <si>
    <t>MX100A-400V</t>
  </si>
  <si>
    <t>Ống PVC D20 mm</t>
  </si>
  <si>
    <t>Rơle bảo vệ quá áp</t>
  </si>
  <si>
    <t>Diode</t>
  </si>
  <si>
    <t>1N4148</t>
  </si>
  <si>
    <t>Phim cách điện</t>
  </si>
  <si>
    <t>Polyester 0,2mm, 1m x 2m</t>
  </si>
  <si>
    <t>Tở</t>
  </si>
  <si>
    <t>Rơle bảo vệ quá dòng</t>
  </si>
  <si>
    <t>NX204A-240A</t>
  </si>
  <si>
    <t>1N4007</t>
  </si>
  <si>
    <t>Pin 1.5V</t>
  </si>
  <si>
    <t>AAA</t>
  </si>
  <si>
    <t>Viên</t>
  </si>
  <si>
    <t>Rơle thời gian On delay</t>
  </si>
  <si>
    <t>220V/60s - loại 8 chân</t>
  </si>
  <si>
    <t>AA</t>
  </si>
  <si>
    <t>Tiếp điểm mở rộng Contactor</t>
  </si>
  <si>
    <t>10A, 1NO-1NC</t>
  </si>
  <si>
    <t>1N5408</t>
  </si>
  <si>
    <t>Pin 9V</t>
  </si>
  <si>
    <t>9V</t>
  </si>
  <si>
    <t>Tủ điện</t>
  </si>
  <si>
    <t>600x400x200mm</t>
  </si>
  <si>
    <t>Tấm dán</t>
  </si>
  <si>
    <t>20x20mm</t>
  </si>
  <si>
    <t>MBR1645 (45V/16A)</t>
  </si>
  <si>
    <t>24VAC, 22µF</t>
  </si>
  <si>
    <t>Thanh cài thiết bị (Omega)</t>
  </si>
  <si>
    <t>35mm, VN</t>
  </si>
  <si>
    <t>Cầu Diode; 1A</t>
  </si>
  <si>
    <t>24VAC, 10µF</t>
  </si>
  <si>
    <t>24VAC, 44µF</t>
  </si>
  <si>
    <t>Cầu Diode; 3A</t>
  </si>
  <si>
    <t>Tụ điện (tụ quạt)</t>
  </si>
  <si>
    <t>220VAC, 2µF</t>
  </si>
  <si>
    <t>Vỏ cầu chì ống 20mm</t>
  </si>
  <si>
    <t>20mm</t>
  </si>
  <si>
    <t>Vít bắn gỗ 5x20mm</t>
  </si>
  <si>
    <t>Màu đen (thép)</t>
  </si>
  <si>
    <t>Diode zener</t>
  </si>
  <si>
    <t>5,1V; 1/2W</t>
  </si>
  <si>
    <t>Vỏ cầu chì ống 30mm</t>
  </si>
  <si>
    <t>30mm</t>
  </si>
  <si>
    <t>Vít bắn sắt 10mm</t>
  </si>
  <si>
    <t>Bake đầu dù</t>
  </si>
  <si>
    <t>9,1V; 1/2W</t>
  </si>
  <si>
    <t>VOM hiển thị kim</t>
  </si>
  <si>
    <t>0-1000V</t>
  </si>
  <si>
    <t>Vít bắn sắt 20 mm</t>
  </si>
  <si>
    <t>12V; 1/2W</t>
  </si>
  <si>
    <t>Vôn kế một chiều</t>
  </si>
  <si>
    <t>0-50V, DC</t>
  </si>
  <si>
    <t>Vôn kế xoay chiều</t>
  </si>
  <si>
    <t>0-50V, AC</t>
  </si>
  <si>
    <t>Led màu</t>
  </si>
  <si>
    <t>Màu xanh; 5mm</t>
  </si>
  <si>
    <t>TỔNG CỘNG:</t>
  </si>
  <si>
    <t>Màu đỏ; 5mm</t>
  </si>
  <si>
    <t>Màu vàng; 5mm</t>
  </si>
  <si>
    <t>Màu đỏ; SMD-0805</t>
  </si>
  <si>
    <t>Led 7 đoạn</t>
  </si>
  <si>
    <t>A chung</t>
  </si>
  <si>
    <t>Led hồng ngoại</t>
  </si>
  <si>
    <t>Phát quang; 5mm</t>
  </si>
  <si>
    <t>Thu quang; 5mm</t>
  </si>
  <si>
    <t>Transistor</t>
  </si>
  <si>
    <t>A1015</t>
  </si>
  <si>
    <t>Bình Dương, ngày ...... tháng ...... năm 2026</t>
  </si>
  <si>
    <t>C1815</t>
  </si>
  <si>
    <t>NGƯỜI KIỂM KÊ</t>
  </si>
  <si>
    <t>THỦ KHO VẬT TƯ</t>
  </si>
  <si>
    <t>TRƯỞNG KHOA / BỘ MÔN</t>
  </si>
  <si>
    <t>C1815 (SMD-SOT95)</t>
  </si>
  <si>
    <t>BAN GIÁM HIỆU DUYỆT</t>
  </si>
  <si>
    <t>(Ký, ghi rõ họ tên)</t>
  </si>
  <si>
    <t>C2383</t>
  </si>
  <si>
    <t>(Ký, đóng dấu)</t>
  </si>
  <si>
    <t>A1013</t>
  </si>
  <si>
    <t>B688</t>
  </si>
  <si>
    <t>D718</t>
  </si>
  <si>
    <t>TIP 41</t>
  </si>
  <si>
    <t>SCR</t>
  </si>
  <si>
    <t>5P4M</t>
  </si>
  <si>
    <t>Triac</t>
  </si>
  <si>
    <t>BTA10_600B</t>
  </si>
  <si>
    <t>Diac</t>
  </si>
  <si>
    <t>DB3</t>
  </si>
  <si>
    <t>Vi mạch</t>
  </si>
  <si>
    <t>NE555</t>
  </si>
  <si>
    <t>NE555 (SMD-SO8)</t>
  </si>
  <si>
    <t>TL082</t>
  </si>
  <si>
    <t>HA741</t>
  </si>
  <si>
    <t>IC 7400</t>
  </si>
  <si>
    <t>IC 7404</t>
  </si>
  <si>
    <t>IC 7402</t>
  </si>
  <si>
    <t>IC 7408</t>
  </si>
  <si>
    <t>IC 7414</t>
  </si>
  <si>
    <t>IC 7432</t>
  </si>
  <si>
    <t>KHOA / BỘ MÔN: CƠ ĐIỆN TỬ</t>
  </si>
  <si>
    <t>IC 7447</t>
  </si>
  <si>
    <t>BẢNG KIỂM KÊ VẬT TƯ &amp; ĐỐI SOÁT HIỆU CHỈNH</t>
  </si>
  <si>
    <t>HỌC KỲ I - NĂM HỌC 2026 - 2027 - BỘ MÔN: CƠ ĐIỆN TỬ</t>
  </si>
  <si>
    <t>IC 7490</t>
  </si>
  <si>
    <t>(Tổng số danh mục: 192 vật tư | Ngày trích xuất: 25/9/2026 | Đơn vị tính số lượng: Theo danh mục vật tư)</t>
  </si>
  <si>
    <t>IC 7486</t>
  </si>
  <si>
    <t>IC 7476</t>
  </si>
  <si>
    <t>IC 74112</t>
  </si>
  <si>
    <t>IC 74138</t>
  </si>
  <si>
    <t>IC 74164</t>
  </si>
  <si>
    <t>IC 4011</t>
  </si>
  <si>
    <t>IC 4013</t>
  </si>
  <si>
    <t>IC 4040</t>
  </si>
  <si>
    <t>Cơ điện tử</t>
  </si>
  <si>
    <t>IC 7474</t>
  </si>
  <si>
    <t>IC 74148</t>
  </si>
  <si>
    <t>IC 4528</t>
  </si>
  <si>
    <t>ADC0804</t>
  </si>
  <si>
    <t>LM35</t>
  </si>
  <si>
    <t>LM335</t>
  </si>
  <si>
    <t>IC 7805</t>
  </si>
  <si>
    <t>IC 7905</t>
  </si>
  <si>
    <t>IC 7812</t>
  </si>
  <si>
    <t>IC 7912</t>
  </si>
  <si>
    <t>LM317</t>
  </si>
  <si>
    <t>LM337</t>
  </si>
  <si>
    <t>TDA7297</t>
  </si>
  <si>
    <t>PIC 18F4550</t>
  </si>
  <si>
    <t>MAX232</t>
  </si>
  <si>
    <t>IC 9148 (hoặc 2248)</t>
  </si>
  <si>
    <t>IC 9149 (hoặc 2249)</t>
  </si>
  <si>
    <t>IC thu quang IR1838</t>
  </si>
  <si>
    <t>PIN</t>
  </si>
  <si>
    <t>Loại AA; 1,5V</t>
  </si>
  <si>
    <t>Loại vuông; 9V</t>
  </si>
  <si>
    <t>Đế PIN</t>
  </si>
  <si>
    <t>Dây điện đơn</t>
  </si>
  <si>
    <t>0,5 mm2</t>
  </si>
  <si>
    <t>1.0 mm2</t>
  </si>
  <si>
    <t>Dây điện đôi</t>
  </si>
  <si>
    <t>2x1.0 mm2</t>
  </si>
  <si>
    <t>Dây bẹ nhiều lõi</t>
  </si>
  <si>
    <t>0.3/20 sợi</t>
  </si>
  <si>
    <t>Cáp mạng</t>
  </si>
  <si>
    <t>CAT6</t>
  </si>
  <si>
    <t>Cáp USB</t>
  </si>
  <si>
    <t>A-B</t>
  </si>
  <si>
    <t>A-C</t>
  </si>
  <si>
    <t>Cáp chuyển</t>
  </si>
  <si>
    <t>USB-RS232</t>
  </si>
  <si>
    <t>Dây cắm Breadboard</t>
  </si>
  <si>
    <t>1 lõi; Ф 0,5mm</t>
  </si>
  <si>
    <t>Gram</t>
  </si>
  <si>
    <t>Đực-Cái; 20 cm; Ф 0,5mm</t>
  </si>
  <si>
    <t>Đực-Đực; 20 cm; Ф 0,5mm</t>
  </si>
  <si>
    <t>Cái-Cái; 20 cm; Ф 0,5mm</t>
  </si>
  <si>
    <t>Dây đo VOM</t>
  </si>
  <si>
    <t>1000V; 20A</t>
  </si>
  <si>
    <t>Phích cắm</t>
  </si>
  <si>
    <t>2 chấu; 220V</t>
  </si>
  <si>
    <t>Cầu chì ống</t>
  </si>
  <si>
    <t>2cm; 0.5 A</t>
  </si>
  <si>
    <t>2cm; 1A</t>
  </si>
  <si>
    <t>3cm; 3A</t>
  </si>
  <si>
    <t>Vỏ cầu chì</t>
  </si>
  <si>
    <t>2cm; 5A</t>
  </si>
  <si>
    <t>Bo đồng</t>
  </si>
  <si>
    <t>KB; 50x60cm2</t>
  </si>
  <si>
    <t>Miếng</t>
  </si>
  <si>
    <t>Bo đồng đục lỗ</t>
  </si>
  <si>
    <t>7x9cm2</t>
  </si>
  <si>
    <t>Đế IC</t>
  </si>
  <si>
    <t>8 chân</t>
  </si>
  <si>
    <t>14 chân</t>
  </si>
  <si>
    <t>16 chân</t>
  </si>
  <si>
    <t>40 chân</t>
  </si>
  <si>
    <t>Relay</t>
  </si>
  <si>
    <t>8 chân; MY2NJ-12VDC</t>
  </si>
  <si>
    <t>5 chân; SRD-12VDC-SL-C</t>
  </si>
  <si>
    <t>Băng keo điện</t>
  </si>
  <si>
    <t>18mm, dài 18m</t>
  </si>
  <si>
    <t>Biến thế xung</t>
  </si>
  <si>
    <t>11-11Z600</t>
  </si>
  <si>
    <t>Bóng đèn</t>
  </si>
  <si>
    <t>12 V/ 10W</t>
  </si>
  <si>
    <t>24 V/ 21W</t>
  </si>
  <si>
    <t>Cổng USB</t>
  </si>
  <si>
    <t>Chuẩn B; xuyên lổ</t>
  </si>
  <si>
    <t>Cổng COM</t>
  </si>
  <si>
    <t>DB9 loại cái; xuyên lổ</t>
  </si>
  <si>
    <t>Axetol</t>
  </si>
  <si>
    <t>500ml/chai</t>
  </si>
  <si>
    <t>Chai</t>
  </si>
  <si>
    <t>Đầu cáp mạng</t>
  </si>
  <si>
    <t>RJ45</t>
  </si>
  <si>
    <t>Hàng rào đực</t>
  </si>
  <si>
    <t>2,54mmx40</t>
  </si>
  <si>
    <t>Nút nhấn tròn</t>
  </si>
  <si>
    <t>5mm; 2 chân</t>
  </si>
  <si>
    <t>Thạnh anh</t>
  </si>
  <si>
    <t>20MHZ</t>
  </si>
  <si>
    <t>455KHZ</t>
  </si>
  <si>
    <t>0,8mm; cuộn 100g</t>
  </si>
  <si>
    <t>Dạng khô; 10g</t>
  </si>
  <si>
    <t>Hộp</t>
  </si>
  <si>
    <t>Thuốc rữa mạch in</t>
  </si>
  <si>
    <t>FeCl3</t>
  </si>
  <si>
    <t>Mũi hàn</t>
  </si>
  <si>
    <t>0.8mm; 900M-T-0.8D Hakko</t>
  </si>
  <si>
    <t>Mũi khoan</t>
  </si>
  <si>
    <t>0.8mm</t>
  </si>
  <si>
    <t>1mm</t>
  </si>
  <si>
    <t>1.2mm</t>
  </si>
  <si>
    <t>BẢNG KIỂM KÊ THIẾT BỊ &amp; ĐỐI SOÁT HIỆU CHỈNH</t>
  </si>
  <si>
    <t>Đực; ∅ 2mm</t>
  </si>
  <si>
    <t>Cái; ∅ 4mm</t>
  </si>
  <si>
    <t>Đực; ∅ 4mm</t>
  </si>
  <si>
    <t>Cho máy nén khí; 1 lít</t>
  </si>
  <si>
    <t>Nhớt thủy lực</t>
  </si>
  <si>
    <t>Nhớt 10; 20 lít</t>
  </si>
  <si>
    <t>Giẻ lau</t>
  </si>
  <si>
    <t>Giẻ lau công nghiệp</t>
  </si>
  <si>
    <t>Dây cắm breadboard</t>
  </si>
  <si>
    <t>KHOA / BỘ MÔN: KỸ THUẬT MÁY LẠNH VÀ ĐIỀU HÒA KHÔNG KHÍ</t>
  </si>
  <si>
    <t>HỌC KỲ I - NĂM HỌC 2026 - 2027 - BỘ MÔN: KỸ THUẬT MÁY LẠNH VÀ ĐIỀU HÒA KHÔNG KHÍ</t>
  </si>
  <si>
    <t>(Tổng số danh mục: 36 vật tư | Ngày trích xuất: 25/9/2026 | Đơn vị tính số lượng: Theo danh mục vật tư)</t>
  </si>
  <si>
    <t>KHOA / BỘ MÔN: ĐIỆN - ĐIỆN TỬ</t>
  </si>
  <si>
    <t>HỌC KỲ I - NĂM HỌC 2026 - 2027 - BỘ MÔN: DÙNG CHUNG</t>
  </si>
  <si>
    <t>(Tổng số danh mục: 138 vật tư | Ngày trích xuất: 25/9/2026 | Đơn vị tính số lượng: Theo danh mục vật tư)</t>
  </si>
  <si>
    <t>Môi chất lạnh R32</t>
  </si>
  <si>
    <t>Bình loại 3kg</t>
  </si>
  <si>
    <t>Bình</t>
  </si>
  <si>
    <t>Kỹ thuật máy lạnh và điều hòa không khí</t>
  </si>
  <si>
    <t>Phin sấy lọc tủ lạnh</t>
  </si>
  <si>
    <t>Loại phin đồng hạt hút ẩm (1 đầu vào, 1 đầu ra)</t>
  </si>
  <si>
    <t>0-2DC</t>
  </si>
  <si>
    <t>Môi chất lạnh R134a</t>
  </si>
  <si>
    <t>Dùng chung</t>
  </si>
  <si>
    <t>Môi chất lạnh R600a</t>
  </si>
  <si>
    <t>R600a, Bình loại 3kg</t>
  </si>
  <si>
    <t>Ống đồng</t>
  </si>
  <si>
    <t>Ø6mm</t>
  </si>
  <si>
    <t>0-2AC</t>
  </si>
  <si>
    <t>Rơ le bảo vệ quá tải máy nén (Thermic)</t>
  </si>
  <si>
    <t>Phù hợp block 1/6HP, dòng định mức 2.0A, 220VAC</t>
  </si>
  <si>
    <t>Ø10mm</t>
  </si>
  <si>
    <t>Rơ le nhiệt độ tủ lạnh (Thermostat)</t>
  </si>
  <si>
    <t>Dải nhiệt độ -30°C đến +30°C, 10A, 250VAC, cảm biến ống mao dài 1.2m</t>
  </si>
  <si>
    <t>Ø16mm</t>
  </si>
  <si>
    <t>Rờ le khởi động</t>
  </si>
  <si>
    <t>Block tủ lạnh 1/6HP, 5A - 220VAC</t>
  </si>
  <si>
    <t>Nối rắc co ống đồng</t>
  </si>
  <si>
    <t>1/4" (cho Ø6)</t>
  </si>
  <si>
    <t>Rơ le áp suất thấp</t>
  </si>
  <si>
    <t>-0.5 đến 6 bar, 250VAC, 8A</t>
  </si>
  <si>
    <t>Rơ le áp suất cao</t>
  </si>
  <si>
    <t>8 đến 30 bar, 250VAC, 8A</t>
  </si>
  <si>
    <t>3/8" (cho Ø10)</t>
  </si>
  <si>
    <t>Van tiết lưu nhiệt cân bằng trong</t>
  </si>
  <si>
    <t>TEX2</t>
  </si>
  <si>
    <t>5/8" (cho Ø16)</t>
  </si>
  <si>
    <t>Bộ xử lý khí</t>
  </si>
  <si>
    <t>Van tiết lưu nhiệt cân bằng ngoài</t>
  </si>
  <si>
    <t>TEX5</t>
  </si>
  <si>
    <t>Nối ống đồng bít ren ngoài</t>
  </si>
  <si>
    <t>CB 2 pha</t>
  </si>
  <si>
    <t>LS, C16, 240VAC</t>
  </si>
  <si>
    <t>Bộ định thời gian xả đá (Timer xả tuyết)</t>
  </si>
  <si>
    <t>TMDF704AD1, điện áp 220V/50Hz, chu kỳ 6h</t>
  </si>
  <si>
    <t>CB 3 pha</t>
  </si>
  <si>
    <t>LS, C32, 400VAC</t>
  </si>
  <si>
    <t>Điện trở xả đá</t>
  </si>
  <si>
    <t>12 inch- 220VAC/130W</t>
  </si>
  <si>
    <t>Cảm biến nhiệt độ âm (Sò lạnh)</t>
  </si>
  <si>
    <t>0,8mm, 63% thiếc (Sn) và 37% chì (Pb), 100g</t>
  </si>
  <si>
    <t>Cảm biến nhiệt độ dương (Sò nóng)</t>
  </si>
  <si>
    <t>Nhiệt độ ngắt 72°C, 250V/10A, bọc cách điện chống ẩm</t>
  </si>
  <si>
    <t>Thuốc hàn the</t>
  </si>
  <si>
    <t>cuộn</t>
  </si>
  <si>
    <t>Hộp 130g chuyên dụng cho hàn ống đồng thau</t>
  </si>
  <si>
    <t>Tụ đơn 20uF/440VAC</t>
  </si>
  <si>
    <t>CBB65, 2 chân</t>
  </si>
  <si>
    <t>Que hàn hợp kim đồng - phốt pho</t>
  </si>
  <si>
    <t>Dạng que dẹt, tỷ lệ 2% bạc, 1kg</t>
  </si>
  <si>
    <t>kg</t>
  </si>
  <si>
    <t>Tụ đơn 30uF/440VAC</t>
  </si>
  <si>
    <t>Tụ đơn 40uF/440VAC</t>
  </si>
  <si>
    <t>Dầu lạnh bôi trơn máy nén</t>
  </si>
  <si>
    <t>LS, GMC-22A, 220VAC</t>
  </si>
  <si>
    <t>Block dùng Gas R134a</t>
  </si>
  <si>
    <t>Tụ kép 25 +1.5uF/440VAC</t>
  </si>
  <si>
    <t>Cos Y 1,5mm</t>
  </si>
  <si>
    <t>CBB65, 3 chân</t>
  </si>
  <si>
    <t>1,5mm2</t>
  </si>
  <si>
    <t>Block dùng Gas R600a</t>
  </si>
  <si>
    <t xml:space="preserve">Cảm biến nhiệt độ 1 đầu đồng dùng cho điều hòa </t>
  </si>
  <si>
    <t>Cos Y 2,5mm</t>
  </si>
  <si>
    <t>10k</t>
  </si>
  <si>
    <t>Đầu ty nạp gas</t>
  </si>
  <si>
    <t>Ống Ø6, dài 100mm, có van ty bên trong</t>
  </si>
  <si>
    <t>Cảm biến nhiệt độ 1 đầu đồng dùng cho điều hòa</t>
  </si>
  <si>
    <t>35k</t>
  </si>
  <si>
    <t>24VDC, 5A</t>
  </si>
  <si>
    <t>50k</t>
  </si>
  <si>
    <t>Ống mao dẫn (Cáp tiết lưu)</t>
  </si>
  <si>
    <t>Ø1.8mm; Dài 3m</t>
  </si>
  <si>
    <t>AZ-7121, 250VC, 10A</t>
  </si>
  <si>
    <t>5k</t>
  </si>
  <si>
    <t>Cảm biến âm tủ lạnh -7độ</t>
  </si>
  <si>
    <t>Cảm biến từ hành trình xylanh</t>
  </si>
  <si>
    <t xml:space="preserve"> MODEL 047</t>
  </si>
  <si>
    <t>5-240V DC/AC, 100mA</t>
  </si>
  <si>
    <t>MODEL 007</t>
  </si>
  <si>
    <t>300mm - 5A</t>
  </si>
  <si>
    <t>Ø2.0mm; Dài 3m</t>
  </si>
  <si>
    <t xml:space="preserve">Cảm biến nhiệt độ dùng tủ lạnh </t>
  </si>
  <si>
    <t>SA-88 -2k</t>
  </si>
  <si>
    <t>Dây điện</t>
  </si>
  <si>
    <t>SH-22-2k</t>
  </si>
  <si>
    <t>1x1.5mm2</t>
  </si>
  <si>
    <t>5A-30mm</t>
  </si>
  <si>
    <t>Cos dẹp capa âm</t>
  </si>
  <si>
    <t>FDD2-250</t>
  </si>
  <si>
    <t>H-8-2k</t>
  </si>
  <si>
    <t>0,5A-20mm</t>
  </si>
  <si>
    <t>Ống bảo ôn cách nhiệt, đơn trắng</t>
  </si>
  <si>
    <t xml:space="preserve">Dây test Φ6 </t>
  </si>
  <si>
    <t>1m50</t>
  </si>
  <si>
    <t xml:space="preserve">Dây test Φ10 </t>
  </si>
  <si>
    <t>2A-20mm</t>
  </si>
  <si>
    <t xml:space="preserve">Dây test Φ12 </t>
  </si>
  <si>
    <t>Dây cáp 3 lõi</t>
  </si>
  <si>
    <t>PVC(3x2.5mm2)</t>
  </si>
  <si>
    <t>mét</t>
  </si>
  <si>
    <t>Dây cáp 4 lõi</t>
  </si>
  <si>
    <t>PVC(3x2.5mm2+1x1.5mm2)</t>
  </si>
  <si>
    <t>Băng cuốn bảo ôn cách nhiệt, trắng</t>
  </si>
  <si>
    <t>Rộng 80mm x Dài 5m</t>
  </si>
  <si>
    <t>Dây rút</t>
  </si>
  <si>
    <t>Đen, Rộng 18mm, Dài 18m</t>
  </si>
  <si>
    <t>VCmd 2x1,5mm2</t>
  </si>
  <si>
    <t>Mét</t>
  </si>
  <si>
    <t>Dây đơn</t>
  </si>
  <si>
    <t>CV-1.0mm2, màu xanh</t>
  </si>
  <si>
    <t>CV-2.5mm2, màu đỏ</t>
  </si>
  <si>
    <t>CV-2.5mm2, màu vàng</t>
  </si>
  <si>
    <t>CV-2.5mm2, màu xanh</t>
  </si>
  <si>
    <t>CV-2.5mm2, sọc vàng - xanh</t>
  </si>
  <si>
    <t>CV-1.0mm2, màu đỏ</t>
  </si>
  <si>
    <t>CV-1.5mm2, màu đỏ</t>
  </si>
  <si>
    <t>CV-1.5mm2, màu xanh</t>
  </si>
  <si>
    <t>VC1.5mm2</t>
  </si>
  <si>
    <t>VC2.5mm2</t>
  </si>
  <si>
    <t>Polyester xanh 0,2mm, 1m x 2m</t>
  </si>
  <si>
    <t>Polyester xanh 0,3mm, 1m x 2m</t>
  </si>
  <si>
    <t xml:space="preserve">Giấy cách điện </t>
  </si>
  <si>
    <t>180, 230mm x 280mm</t>
  </si>
  <si>
    <t>Hạt công tắc 1 chiều</t>
  </si>
  <si>
    <t>Sino 10A, S30</t>
  </si>
  <si>
    <t>Hạt công tắc 2 chiều</t>
  </si>
  <si>
    <t>Jack cắm cái</t>
  </si>
  <si>
    <t>Ф 4mm</t>
  </si>
  <si>
    <t>(Dài 50 x Rộng 46 x Cao 65 )mm</t>
  </si>
  <si>
    <t>Kẹp đỡ ống PVC</t>
  </si>
  <si>
    <t>Module mạch ESP32</t>
  </si>
  <si>
    <t>ESP32 NodeMCU LuaNode32 Module Thu Phát Wifi 38 Chân</t>
  </si>
  <si>
    <t>cái</t>
  </si>
  <si>
    <t>Máng nhựa xương cá</t>
  </si>
  <si>
    <t>25x45mm</t>
  </si>
  <si>
    <t>Nhớt máy nén khí</t>
  </si>
  <si>
    <t>lít</t>
  </si>
  <si>
    <t>ISO VG 100, máy nén piston</t>
  </si>
  <si>
    <t>Nhớt máy nén khí (5 lít)</t>
  </si>
  <si>
    <t>ISO VG 46</t>
  </si>
  <si>
    <t>Nút nhấn</t>
  </si>
  <si>
    <t>LA38-11, D22mm</t>
  </si>
  <si>
    <t>D25nn, CRE-25R1R</t>
  </si>
  <si>
    <t>Nẹp vuông luồn dây</t>
  </si>
  <si>
    <t>200x100mm</t>
  </si>
  <si>
    <t xml:space="preserve">Phim cách </t>
  </si>
  <si>
    <t>Polyester Mylar trắng sữa 0,2mm</t>
  </si>
  <si>
    <t>Pin 1,5 VDC</t>
  </si>
  <si>
    <t>Cục</t>
  </si>
  <si>
    <t>Pin 1.5 VDC</t>
  </si>
  <si>
    <t>Pin 9 VDC</t>
  </si>
  <si>
    <t>Panasonic</t>
  </si>
  <si>
    <t>LS, GTH-22</t>
  </si>
  <si>
    <t>220VAC, 14 chân</t>
  </si>
  <si>
    <t>Rơle thời gian</t>
  </si>
  <si>
    <t>AH3-3, 220VAC, 60S</t>
  </si>
  <si>
    <t xml:space="preserve">Rắc cắm nhanh </t>
  </si>
  <si>
    <t>3.5</t>
  </si>
  <si>
    <t>Thanh cài thiết bị</t>
  </si>
  <si>
    <t>DIN Rail 35mm, 1000mm</t>
  </si>
  <si>
    <t>Tấm dán dây rút</t>
  </si>
  <si>
    <t>22pF/16V, chân cắm</t>
  </si>
  <si>
    <t>10uf/25V, chân cắm</t>
  </si>
  <si>
    <t>Van khóa khí  Ф 6mm</t>
  </si>
  <si>
    <t xml:space="preserve"> Ф 6mm</t>
  </si>
  <si>
    <t xml:space="preserve">Cái </t>
  </si>
  <si>
    <t>Van khóa khí nén</t>
  </si>
  <si>
    <t>HVFF-06</t>
  </si>
  <si>
    <t>Van một chiều Ф4mm (dùng cho van phân phối khí)</t>
  </si>
  <si>
    <t>Ф4mm/ ren Ф4mm</t>
  </si>
  <si>
    <t>Ф4mm</t>
  </si>
  <si>
    <t>Van một chiều, phân phối khí</t>
  </si>
  <si>
    <t>CVPC4-M5</t>
  </si>
  <si>
    <t>Van tiết lưu cho xylanh</t>
  </si>
  <si>
    <t>SL6-01</t>
  </si>
  <si>
    <t>Van áp lực 5/2</t>
  </si>
  <si>
    <t>STNC, TG2512A-06</t>
  </si>
  <si>
    <t xml:space="preserve">Van áp lực 5/2 </t>
  </si>
  <si>
    <t>4 bar</t>
  </si>
  <si>
    <t>Van điện từ 5/2</t>
  </si>
  <si>
    <t>24VDC/ 4 bar/ ren Ф10mm</t>
  </si>
  <si>
    <t>STNC, TG2512-06 MD-24V</t>
  </si>
  <si>
    <t>SMC, SMC SY5220 5LOZ 01</t>
  </si>
  <si>
    <t>LM7805, Kiểu chân: TO-220 (chân cắm)</t>
  </si>
  <si>
    <t>IC74192, chân cắm</t>
  </si>
  <si>
    <t>Vít bắn gỗ</t>
  </si>
  <si>
    <t>Ф 4mm, 20mm, Màu đen (thép)</t>
  </si>
  <si>
    <t>Vít bắn sắt</t>
  </si>
  <si>
    <t>Ф 4mm, 15mm, Bake đầu dù</t>
  </si>
  <si>
    <t>nút nhấn tròn 15mm</t>
  </si>
  <si>
    <t>24VDC, AL6-M 24V</t>
  </si>
  <si>
    <t>relay 5 chân</t>
  </si>
  <si>
    <t>Omron, 24VDC, G2R-1-SN</t>
  </si>
  <si>
    <t>rắc cắm nhanh 3.5mm</t>
  </si>
  <si>
    <t>Đuôi đèn xoáy</t>
  </si>
  <si>
    <t>E27</t>
  </si>
  <si>
    <t>Đèn báo pha</t>
  </si>
  <si>
    <t>LAP-1T0R/Y/G-220VAC, Ф22mm</t>
  </si>
  <si>
    <t>Đế Rơ le thời gian</t>
  </si>
  <si>
    <t>8 chân tròn, 220VAC</t>
  </si>
  <si>
    <t>Đế Rơ le trung gian</t>
  </si>
  <si>
    <t>14 chân, 220VAC</t>
  </si>
  <si>
    <t>Đômino</t>
  </si>
  <si>
    <t>Đầu code</t>
  </si>
  <si>
    <t>1,5mm</t>
  </si>
  <si>
    <t>bịch</t>
  </si>
  <si>
    <t>2,5mm</t>
  </si>
  <si>
    <t>2.5mm</t>
  </si>
  <si>
    <t>1.5mm</t>
  </si>
  <si>
    <t>Đầu cắm Banana Cái</t>
  </si>
  <si>
    <t>Đầu cắm Banana Đực</t>
  </si>
  <si>
    <t>Đầu nối T Ф 6mm</t>
  </si>
  <si>
    <t>Ф 6mm</t>
  </si>
  <si>
    <t>Đầu nối có van tiết lưu 1 chiều gắn ở 2 cổng xylanh</t>
  </si>
  <si>
    <t>6mm</t>
  </si>
  <si>
    <t>Đầu nối khí nén chữ T</t>
  </si>
  <si>
    <t>PE4</t>
  </si>
  <si>
    <t>PE6</t>
  </si>
  <si>
    <t>Đầu nối nhanh khí nén</t>
  </si>
  <si>
    <t>PC4-01</t>
  </si>
  <si>
    <t>PC4-M5</t>
  </si>
  <si>
    <t>Đầu nối Ф 6mm</t>
  </si>
  <si>
    <t>Đầu nối Ф6mm</t>
  </si>
  <si>
    <t>Ф6mm</t>
  </si>
  <si>
    <t>Đế IC 16 chân, chân vuông, 2 hàng, khoảng cách chân 2.54mm</t>
  </si>
  <si>
    <t>Đế IC 40 chân, chân vuông, 2 hàng, khoảng cách chân 2.54mm</t>
  </si>
  <si>
    <t>Đế IC 40 Chân Vuông Hai Hàng 2.54mm</t>
  </si>
  <si>
    <t xml:space="preserve">Đế timer </t>
  </si>
  <si>
    <t>8 chân tròn</t>
  </si>
  <si>
    <t>đầu code 1.5</t>
  </si>
  <si>
    <t>Ốc + tán</t>
  </si>
  <si>
    <t>Ф 4mm, 20mm</t>
  </si>
  <si>
    <t>Ống Khí Ф 6mm</t>
  </si>
  <si>
    <t>Ống dẫn khí</t>
  </si>
  <si>
    <t>Ф 4mm, 60mm</t>
  </si>
  <si>
    <t>Ф 1mm, 60mm</t>
  </si>
  <si>
    <t>Ống luồn dây điện PVC</t>
  </si>
  <si>
    <t>D20 mm, SP9020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</si>
</sst>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\+#,##0;\-#,##0;0"/>
  </numFmts>
  <fonts count="35">
    <font>
      <sz val="11"/>
      <color theme="1"/>
      <name val="Calibri"/>
      <scheme val="minor"/>
    </font>
    <font>
      <b/>
      <sz val="11"/>
      <color rgb="FF1F497D"/>
      <name val="Times New Roman"/>
    </font>
    <font>
      <i/>
      <sz val="10"/>
      <color theme="1"/>
      <name val="Times New Roman"/>
    </font>
    <font>
      <b/>
      <sz val="11"/>
      <color rgb="FF595959"/>
      <name val="Times New Roman"/>
    </font>
    <font>
      <b/>
      <sz val="16"/>
      <color rgb="FF0F243E"/>
      <name val="Times New Roman"/>
    </font>
    <font>
      <b/>
      <sz val="12"/>
      <color rgb="FF0284C7"/>
      <name val="Times New Roman"/>
    </font>
    <font>
      <i/>
      <sz val="10"/>
      <color rgb="FF595959"/>
      <name val="Times New Roman"/>
    </font>
    <font>
      <sz val="11"/>
      <name val="Calibri"/>
    </font>
    <font>
      <b/>
      <sz val="11"/>
      <color rgb="FFC65911"/>
      <name val="Times New Roman"/>
    </font>
    <font>
      <b/>
      <sz val="11"/>
      <color rgb="FF375623"/>
      <name val="Times New Roman"/>
    </font>
    <font>
      <b/>
      <sz val="10"/>
      <color rgb="FF1F497D"/>
      <name val="Times New Roman"/>
    </font>
    <font>
      <b/>
      <sz val="10"/>
      <color rgb="FFFF0000"/>
      <name val="Times New Roman"/>
    </font>
    <font>
      <b/>
      <sz val="10"/>
      <color rgb="FFC65911"/>
      <name val="Times New Roman"/>
    </font>
    <font>
      <b/>
      <sz val="10"/>
      <color rgb="FF375623"/>
      <name val="Times New Roman"/>
    </font>
    <font>
      <sz val="10"/>
      <color theme="1"/>
      <name val="Times New Roman"/>
    </font>
    <font>
      <sz val="10"/>
      <color rgb="FF595959"/>
      <name val="Times New Roman"/>
    </font>
    <font>
      <sz val="11"/>
      <color rgb="FF000000"/>
      <name val="&quot;Times New Roman&quot;"/>
    </font>
    <font>
      <b/>
      <sz val="11"/>
      <color theme="1"/>
      <name val="Times New Roman"/>
    </font>
    <font>
      <sz val="11"/>
      <color rgb="FF595959"/>
      <name val="&quot;Times New Roman&quot;"/>
    </font>
    <font>
      <sz val="10"/>
      <color rgb="FFFF0000"/>
      <name val="Times New Roman"/>
    </font>
    <font>
      <b/>
      <sz val="11"/>
      <color rgb="FF000000"/>
      <name val="&quot;Times New Roman&quot;"/>
    </font>
    <font>
      <sz val="11"/>
      <color rgb="FFFF0000"/>
      <name val="&quot;Times New Roman&quot;"/>
    </font>
    <font>
      <b/>
      <sz val="11"/>
      <color rgb="FF0F243E"/>
      <name val="Times New Roman"/>
    </font>
    <font>
      <sz val="11"/>
      <color theme="1"/>
      <name val="Calibri"/>
      <scheme val="minor"/>
    </font>
    <font>
      <sz val="11"/>
      <color rgb="FF000000"/>
      <name val="Calibri"/>
      <scheme val="minor"/>
    </font>
    <font>
      <i/>
      <sz val="11"/>
      <color rgb="FF000000"/>
      <name val="Times New Roman"/>
    </font>
    <font>
      <b/>
      <sz val="11"/>
      <color rgb="FF000000"/>
      <name val="Times New Roman"/>
    </font>
    <font>
      <i/>
      <sz val="9"/>
      <color rgb="FF000000"/>
      <name val="Times New Roman"/>
    </font>
    <font>
      <sz val="11"/>
      <color theme="0"/>
      <name val="Calibri"/>
      <scheme val="minor"/>
    </font>
    <font>
      <sz val="11"/>
      <color rgb="FFFF0000"/>
      <name val="Times New Roman"/>
    </font>
    <font>
      <i/>
      <sz val="11"/>
      <color theme="0"/>
      <name val="Times New Roman"/>
    </font>
    <font>
      <b/>
      <sz val="11"/>
      <color theme="0"/>
      <name val="Times New Roman"/>
    </font>
    <font>
      <i/>
      <sz val="9"/>
      <color theme="0"/>
      <name val="Times New Roman"/>
    </font>
    <font>
      <i/>
      <sz val="11"/>
      <color theme="1"/>
      <name val="Times New Roman"/>
    </font>
    <font>
      <i/>
      <sz val="9"/>
      <color rgb="FF595959"/>
      <name val="Times New Roman"/>
    </font>
  </fonts>
  <fills count="11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DCE6F1"/>
        <bgColor rgb="FFDCE6F1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9FAFB"/>
        <bgColor rgb="FFF9FAFB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2F9F1"/>
        <bgColor rgb="FFF2F9F1"/>
      </patternFill>
    </fill>
    <fill>
      <patternFill patternType="solid">
        <fgColor rgb="FFEDEFEF"/>
        <bgColor rgb="FFEDEFEF"/>
      </patternFill>
    </fill>
  </fills>
  <borders count="20">
    <border>
      <left/>
      <right/>
      <top/>
      <bottom/>
      <diagonal/>
    </border>
    <border>
      <left style="thin">
        <color rgb="FFB8CCE4"/>
      </left>
      <right/>
      <top style="medium">
        <color rgb="FF4F81BD"/>
      </top>
      <bottom style="thin">
        <color rgb="FF4F81BD"/>
      </bottom>
      <diagonal/>
    </border>
    <border>
      <left/>
      <right/>
      <top style="medium">
        <color rgb="FF4F81BD"/>
      </top>
      <bottom style="thin">
        <color rgb="FF4F81BD"/>
      </bottom>
      <diagonal/>
    </border>
    <border>
      <left style="thin">
        <color rgb="FFB8CCE4"/>
      </left>
      <right/>
      <top style="medium">
        <color rgb="FF4F81BD"/>
      </top>
      <bottom/>
      <diagonal/>
    </border>
    <border>
      <left/>
      <right style="thin">
        <color rgb="FFB8CCE4"/>
      </right>
      <top style="medium">
        <color rgb="FF4F81BD"/>
      </top>
      <bottom style="thin">
        <color rgb="FF4F81BD"/>
      </bottom>
      <diagonal/>
    </border>
    <border>
      <left/>
      <right/>
      <top style="medium">
        <color rgb="FF4F81BD"/>
      </top>
      <bottom/>
      <diagonal/>
    </border>
    <border>
      <left/>
      <right style="thin">
        <color rgb="FFB8CCE4"/>
      </right>
      <top style="medium">
        <color rgb="FF4F81BD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8CCE4"/>
      </left>
      <right style="thin">
        <color rgb="FFB8CCE4"/>
      </right>
      <top style="thin">
        <color rgb="FF4F81BD"/>
      </top>
      <bottom style="medium">
        <color rgb="FF4F81B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5A6BD"/>
      </left>
      <right style="thin">
        <color rgb="FFD5A6BD"/>
      </right>
      <top style="thin">
        <color rgb="FFD5A6BD"/>
      </top>
      <bottom style="thin">
        <color rgb="FFD5A6BD"/>
      </bottom>
      <diagonal/>
    </border>
    <border>
      <left style="thin">
        <color rgb="FFB8CCE4"/>
      </left>
      <right/>
      <top style="medium">
        <color rgb="FF1F497D"/>
      </top>
      <bottom style="double">
        <color rgb="FF1F497D"/>
      </bottom>
      <diagonal/>
    </border>
    <border>
      <left/>
      <right/>
      <top style="medium">
        <color rgb="FF1F497D"/>
      </top>
      <bottom style="double">
        <color rgb="FF1F497D"/>
      </bottom>
      <diagonal/>
    </border>
    <border>
      <left/>
      <right style="thin">
        <color rgb="FFB8CCE4"/>
      </right>
      <top style="medium">
        <color rgb="FF1F497D"/>
      </top>
      <bottom style="double">
        <color rgb="FF1F497D"/>
      </bottom>
      <diagonal/>
    </border>
    <border>
      <left style="thin">
        <color rgb="FFB8CCE4"/>
      </left>
      <right style="thin">
        <color rgb="FFB8CCE4"/>
      </right>
      <top style="medium">
        <color rgb="FF1F497D"/>
      </top>
      <bottom style="double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0" fillId="2" borderId="7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/>
    </xf>
    <xf numFmtId="0" fontId="17" fillId="0" borderId="7" xfId="0" applyFont="1" applyBorder="1" applyAlignment="1">
      <alignment horizontal="left" vertical="center" wrapText="1"/>
    </xf>
    <xf numFmtId="0" fontId="18" fillId="6" borderId="9" xfId="0" applyFont="1" applyFill="1" applyBorder="1" applyAlignment="1">
      <alignment horizontal="center"/>
    </xf>
    <xf numFmtId="0" fontId="14" fillId="6" borderId="7" xfId="0" applyFont="1" applyFill="1" applyBorder="1" applyAlignment="1">
      <alignment horizontal="center" vertical="center" wrapText="1"/>
    </xf>
    <xf numFmtId="0" fontId="18" fillId="0" borderId="9" xfId="0" applyFont="1" applyBorder="1" applyAlignment="1">
      <alignment horizontal="center"/>
    </xf>
    <xf numFmtId="0" fontId="19" fillId="0" borderId="7" xfId="0" applyFont="1" applyBorder="1" applyAlignment="1">
      <alignment horizontal="left" vertical="center" wrapText="1"/>
    </xf>
    <xf numFmtId="0" fontId="20" fillId="6" borderId="9" xfId="0" applyFont="1" applyFill="1" applyBorder="1" applyAlignment="1">
      <alignment horizontal="left"/>
    </xf>
    <xf numFmtId="0" fontId="14" fillId="0" borderId="7" xfId="0" applyFont="1" applyBorder="1" applyAlignment="1">
      <alignment horizontal="left" vertical="center" wrapText="1"/>
    </xf>
    <xf numFmtId="0" fontId="21" fillId="6" borderId="9" xfId="0" applyFont="1" applyFill="1" applyBorder="1" applyAlignment="1">
      <alignment horizontal="left"/>
    </xf>
    <xf numFmtId="0" fontId="20" fillId="7" borderId="9" xfId="0" applyFont="1" applyFill="1" applyBorder="1" applyAlignment="1">
      <alignment horizontal="left"/>
    </xf>
    <xf numFmtId="3" fontId="22" fillId="0" borderId="7" xfId="0" applyNumberFormat="1" applyFont="1" applyBorder="1" applyAlignment="1">
      <alignment horizontal="right" vertical="center" wrapText="1"/>
    </xf>
    <xf numFmtId="0" fontId="16" fillId="6" borderId="9" xfId="0" applyFont="1" applyFill="1" applyBorder="1" applyAlignment="1">
      <alignment horizontal="center"/>
    </xf>
    <xf numFmtId="0" fontId="21" fillId="0" borderId="9" xfId="0" applyFont="1" applyBorder="1" applyAlignment="1">
      <alignment horizontal="left"/>
    </xf>
    <xf numFmtId="0" fontId="14" fillId="6" borderId="9" xfId="0" applyFont="1" applyFill="1" applyBorder="1" applyAlignment="1">
      <alignment horizontal="left" vertical="center"/>
    </xf>
    <xf numFmtId="3" fontId="14" fillId="0" borderId="7" xfId="0" applyNumberFormat="1" applyFont="1" applyBorder="1" applyAlignment="1">
      <alignment horizontal="right" vertical="center" wrapText="1"/>
    </xf>
    <xf numFmtId="3" fontId="22" fillId="6" borderId="9" xfId="0" applyNumberFormat="1" applyFont="1" applyFill="1" applyBorder="1" applyAlignment="1">
      <alignment horizontal="right" vertical="center"/>
    </xf>
    <xf numFmtId="0" fontId="14" fillId="0" borderId="9" xfId="0" applyFont="1" applyBorder="1" applyAlignment="1">
      <alignment horizontal="left" vertical="center"/>
    </xf>
    <xf numFmtId="3" fontId="14" fillId="8" borderId="7" xfId="0" applyNumberFormat="1" applyFont="1" applyFill="1" applyBorder="1" applyAlignment="1">
      <alignment horizontal="right" vertical="center" wrapText="1"/>
    </xf>
    <xf numFmtId="3" fontId="14" fillId="6" borderId="9" xfId="0" applyNumberFormat="1" applyFont="1" applyFill="1" applyBorder="1" applyAlignment="1">
      <alignment horizontal="right" vertical="center"/>
    </xf>
    <xf numFmtId="3" fontId="14" fillId="8" borderId="10" xfId="0" applyNumberFormat="1" applyFont="1" applyFill="1" applyBorder="1" applyAlignment="1">
      <alignment horizontal="right" vertical="center"/>
    </xf>
    <xf numFmtId="3" fontId="22" fillId="0" borderId="9" xfId="0" applyNumberFormat="1" applyFont="1" applyBorder="1" applyAlignment="1">
      <alignment horizontal="right" vertical="center"/>
    </xf>
    <xf numFmtId="3" fontId="14" fillId="0" borderId="9" xfId="0" applyNumberFormat="1" applyFont="1" applyBorder="1" applyAlignment="1">
      <alignment horizontal="right" vertical="center"/>
    </xf>
    <xf numFmtId="164" fontId="17" fillId="0" borderId="7" xfId="0" applyNumberFormat="1" applyFont="1" applyBorder="1" applyAlignment="1">
      <alignment horizontal="right" vertical="center" wrapText="1"/>
    </xf>
    <xf numFmtId="3" fontId="14" fillId="9" borderId="7" xfId="0" applyNumberFormat="1" applyFont="1" applyFill="1" applyBorder="1" applyAlignment="1">
      <alignment horizontal="right" vertical="center" wrapText="1"/>
    </xf>
    <xf numFmtId="164" fontId="17" fillId="0" borderId="9" xfId="0" applyNumberFormat="1" applyFont="1" applyBorder="1" applyAlignment="1">
      <alignment horizontal="right" vertical="center"/>
    </xf>
    <xf numFmtId="3" fontId="14" fillId="9" borderId="9" xfId="0" applyNumberFormat="1" applyFont="1" applyFill="1" applyBorder="1" applyAlignment="1">
      <alignment horizontal="right" vertical="center"/>
    </xf>
    <xf numFmtId="0" fontId="15" fillId="6" borderId="7" xfId="0" applyFont="1" applyFill="1" applyBorder="1" applyAlignment="1">
      <alignment horizontal="center" vertical="center" wrapText="1"/>
    </xf>
    <xf numFmtId="0" fontId="17" fillId="6" borderId="7" xfId="0" applyFont="1" applyFill="1" applyBorder="1" applyAlignment="1">
      <alignment horizontal="left" vertical="center" wrapText="1"/>
    </xf>
    <xf numFmtId="0" fontId="19" fillId="6" borderId="7" xfId="0" applyFont="1" applyFill="1" applyBorder="1" applyAlignment="1">
      <alignment horizontal="left" vertical="center" wrapText="1"/>
    </xf>
    <xf numFmtId="0" fontId="14" fillId="6" borderId="7" xfId="0" applyFont="1" applyFill="1" applyBorder="1" applyAlignment="1">
      <alignment horizontal="left" vertical="center" wrapText="1"/>
    </xf>
    <xf numFmtId="3" fontId="22" fillId="6" borderId="7" xfId="0" applyNumberFormat="1" applyFont="1" applyFill="1" applyBorder="1" applyAlignment="1">
      <alignment horizontal="right" vertical="center" wrapText="1"/>
    </xf>
    <xf numFmtId="3" fontId="14" fillId="6" borderId="7" xfId="0" applyNumberFormat="1" applyFont="1" applyFill="1" applyBorder="1" applyAlignment="1">
      <alignment horizontal="right" vertical="center" wrapText="1"/>
    </xf>
    <xf numFmtId="0" fontId="20" fillId="0" borderId="9" xfId="0" applyFont="1" applyBorder="1" applyAlignment="1">
      <alignment horizontal="left"/>
    </xf>
    <xf numFmtId="0" fontId="23" fillId="0" borderId="0" xfId="0" applyFont="1"/>
    <xf numFmtId="3" fontId="17" fillId="10" borderId="14" xfId="0" applyNumberFormat="1" applyFont="1" applyFill="1" applyBorder="1"/>
    <xf numFmtId="164" fontId="17" fillId="10" borderId="14" xfId="0" applyNumberFormat="1" applyFont="1" applyFill="1" applyBorder="1"/>
    <xf numFmtId="0" fontId="17" fillId="10" borderId="14" xfId="0" applyFont="1" applyFill="1" applyBorder="1"/>
    <xf numFmtId="0" fontId="24" fillId="0" borderId="0" xfId="0" applyFont="1"/>
    <xf numFmtId="0" fontId="28" fillId="0" borderId="0" xfId="0" applyFont="1"/>
    <xf numFmtId="0" fontId="23" fillId="0" borderId="0" xfId="0" applyFont="1" applyAlignment="1">
      <alignment wrapText="1"/>
    </xf>
    <xf numFmtId="0" fontId="14" fillId="0" borderId="9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7" fillId="6" borderId="9" xfId="0" applyFont="1" applyFill="1" applyBorder="1" applyAlignment="1">
      <alignment horizontal="left" vertical="center"/>
    </xf>
    <xf numFmtId="0" fontId="19" fillId="6" borderId="9" xfId="0" applyFont="1" applyFill="1" applyBorder="1" applyAlignment="1">
      <alignment horizontal="left" vertical="center" wrapText="1"/>
    </xf>
    <xf numFmtId="0" fontId="14" fillId="6" borderId="9" xfId="0" applyFont="1" applyFill="1" applyBorder="1" applyAlignment="1">
      <alignment horizontal="center" vertical="center"/>
    </xf>
    <xf numFmtId="0" fontId="14" fillId="7" borderId="9" xfId="0" applyFont="1" applyFill="1" applyBorder="1" applyAlignment="1">
      <alignment horizontal="center" vertical="center"/>
    </xf>
    <xf numFmtId="0" fontId="15" fillId="7" borderId="9" xfId="0" applyFont="1" applyFill="1" applyBorder="1" applyAlignment="1">
      <alignment horizontal="center" vertical="center"/>
    </xf>
    <xf numFmtId="0" fontId="17" fillId="7" borderId="9" xfId="0" applyFont="1" applyFill="1" applyBorder="1" applyAlignment="1">
      <alignment horizontal="left" vertical="center"/>
    </xf>
    <xf numFmtId="0" fontId="19" fillId="7" borderId="9" xfId="0" applyFont="1" applyFill="1" applyBorder="1" applyAlignment="1">
      <alignment horizontal="left" vertical="center" wrapText="1"/>
    </xf>
    <xf numFmtId="0" fontId="14" fillId="7" borderId="9" xfId="0" applyFont="1" applyFill="1" applyBorder="1" applyAlignment="1">
      <alignment horizontal="left" vertical="center"/>
    </xf>
    <xf numFmtId="3" fontId="22" fillId="7" borderId="9" xfId="0" applyNumberFormat="1" applyFont="1" applyFill="1" applyBorder="1" applyAlignment="1">
      <alignment horizontal="right" vertical="center"/>
    </xf>
    <xf numFmtId="3" fontId="14" fillId="7" borderId="9" xfId="0" applyNumberFormat="1" applyFont="1" applyFill="1" applyBorder="1" applyAlignment="1">
      <alignment horizontal="right" vertical="center"/>
    </xf>
    <xf numFmtId="0" fontId="17" fillId="0" borderId="9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 wrapText="1"/>
    </xf>
    <xf numFmtId="0" fontId="15" fillId="6" borderId="9" xfId="0" applyFont="1" applyFill="1" applyBorder="1" applyAlignment="1">
      <alignment horizontal="center" vertical="center"/>
    </xf>
    <xf numFmtId="3" fontId="14" fillId="7" borderId="10" xfId="0" applyNumberFormat="1" applyFont="1" applyFill="1" applyBorder="1" applyAlignment="1">
      <alignment horizontal="right" vertical="center"/>
    </xf>
    <xf numFmtId="164" fontId="17" fillId="7" borderId="9" xfId="0" applyNumberFormat="1" applyFont="1" applyFill="1" applyBorder="1" applyAlignment="1">
      <alignment horizontal="right" vertical="center"/>
    </xf>
    <xf numFmtId="0" fontId="23" fillId="7" borderId="0" xfId="0" applyFont="1" applyFill="1"/>
    <xf numFmtId="0" fontId="17" fillId="7" borderId="15" xfId="0" applyFont="1" applyFill="1" applyBorder="1" applyAlignment="1">
      <alignment horizontal="left" vertical="center"/>
    </xf>
    <xf numFmtId="0" fontId="15" fillId="7" borderId="16" xfId="0" applyFont="1" applyFill="1" applyBorder="1" applyAlignment="1">
      <alignment horizontal="center" vertical="center"/>
    </xf>
    <xf numFmtId="0" fontId="29" fillId="0" borderId="0" xfId="0" applyFont="1" applyAlignment="1">
      <alignment horizontal="left" wrapText="1"/>
    </xf>
    <xf numFmtId="0" fontId="29" fillId="7" borderId="17" xfId="0" applyFont="1" applyFill="1" applyBorder="1" applyAlignment="1">
      <alignment horizontal="left" vertical="center" wrapText="1"/>
    </xf>
    <xf numFmtId="0" fontId="14" fillId="7" borderId="15" xfId="0" applyFont="1" applyFill="1" applyBorder="1" applyAlignment="1">
      <alignment horizontal="center" vertical="center"/>
    </xf>
    <xf numFmtId="0" fontId="29" fillId="0" borderId="0" xfId="0" applyFont="1" applyAlignment="1">
      <alignment horizontal="left"/>
    </xf>
    <xf numFmtId="0" fontId="29" fillId="7" borderId="18" xfId="0" applyFont="1" applyFill="1" applyBorder="1" applyAlignment="1">
      <alignment horizontal="left" vertical="center" wrapText="1"/>
    </xf>
    <xf numFmtId="0" fontId="14" fillId="7" borderId="17" xfId="0" applyFont="1" applyFill="1" applyBorder="1" applyAlignment="1">
      <alignment horizontal="left" vertical="center"/>
    </xf>
    <xf numFmtId="0" fontId="17" fillId="7" borderId="0" xfId="0" applyFont="1" applyFill="1" applyAlignment="1">
      <alignment horizontal="left" vertical="center"/>
    </xf>
    <xf numFmtId="0" fontId="19" fillId="7" borderId="17" xfId="0" applyFont="1" applyFill="1" applyBorder="1" applyAlignment="1">
      <alignment horizontal="left" vertical="center" wrapText="1"/>
    </xf>
    <xf numFmtId="0" fontId="14" fillId="7" borderId="19" xfId="0" applyFont="1" applyFill="1" applyBorder="1" applyAlignment="1">
      <alignment horizontal="center" vertical="center"/>
    </xf>
    <xf numFmtId="0" fontId="17" fillId="7" borderId="19" xfId="0" applyFont="1" applyFill="1" applyBorder="1" applyAlignment="1">
      <alignment horizontal="left" vertical="center"/>
    </xf>
    <xf numFmtId="0" fontId="1" fillId="10" borderId="0" xfId="0" applyFont="1" applyFill="1" applyAlignment="1">
      <alignment horizontal="center" vertical="center"/>
    </xf>
    <xf numFmtId="3" fontId="17" fillId="10" borderId="0" xfId="0" applyNumberFormat="1" applyFont="1" applyFill="1"/>
    <xf numFmtId="164" fontId="17" fillId="10" borderId="0" xfId="0" applyNumberFormat="1" applyFont="1" applyFill="1"/>
    <xf numFmtId="0" fontId="17" fillId="10" borderId="0" xfId="0" applyFont="1" applyFill="1"/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7" fillId="0" borderId="2" xfId="0" applyFont="1" applyBorder="1"/>
    <xf numFmtId="0" fontId="7" fillId="0" borderId="4" xfId="0" applyFont="1" applyBorder="1"/>
    <xf numFmtId="0" fontId="9" fillId="5" borderId="1" xfId="0" applyFont="1" applyFill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" fillId="10" borderId="11" xfId="0" applyFont="1" applyFill="1" applyBorder="1" applyAlignment="1">
      <alignment horizontal="center" vertical="center"/>
    </xf>
    <xf numFmtId="0" fontId="7" fillId="0" borderId="12" xfId="0" applyFont="1" applyBorder="1"/>
    <xf numFmtId="0" fontId="7" fillId="0" borderId="13" xfId="0" applyFont="1" applyBorder="1"/>
    <xf numFmtId="0" fontId="25" fillId="0" borderId="0" xfId="0" applyFont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7" fillId="0" borderId="5" xfId="0" applyFont="1" applyBorder="1"/>
    <xf numFmtId="0" fontId="7" fillId="0" borderId="6" xfId="0" applyFont="1" applyBorder="1"/>
    <xf numFmtId="0" fontId="8" fillId="4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33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4">
    <tableStyle name="Vật tư Điện tử-style" pivot="0" count="3" xr9:uid="{00000000-0011-0000-FFFF-FFFF00000000}">
      <tableStyleElement type="headerRow" dxfId="11"/>
      <tableStyleElement type="firstRowStripe" dxfId="10"/>
      <tableStyleElement type="secondRowStripe" dxfId="9"/>
    </tableStyle>
    <tableStyle name="Thiết bị Điện tử-style" pivot="0" count="3" xr9:uid="{00000000-0011-0000-FFFF-FFFF01000000}">
      <tableStyleElement type="headerRow" dxfId="8"/>
      <tableStyleElement type="firstRowStripe" dxfId="7"/>
      <tableStyleElement type="secondRowStripe" dxfId="6"/>
    </tableStyle>
    <tableStyle name="Vật tư Cơ điện tử-style" pivot="0" count="3" xr9:uid="{00000000-0011-0000-FFFF-FFFF02000000}">
      <tableStyleElement type="headerRow" dxfId="5"/>
      <tableStyleElement type="firstRowStripe" dxfId="4"/>
      <tableStyleElement type="secondRowStripe" dxfId="3"/>
    </tableStyle>
    <tableStyle name="Thiết bị Cơ điện tử-style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266700</xdr:colOff>
      <xdr:row>77</xdr:row>
      <xdr:rowOff>219075</xdr:rowOff>
    </xdr:from>
    <xdr:ext cx="2105025" cy="2105025"/>
    <xdr:pic>
      <xdr:nvPicPr>
        <xdr:cNvPr id="2" name="image2.jpg" title="Hình ảnh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314325</xdr:colOff>
      <xdr:row>77</xdr:row>
      <xdr:rowOff>104775</xdr:rowOff>
    </xdr:from>
    <xdr:ext cx="2638425" cy="2105025"/>
    <xdr:pic>
      <xdr:nvPicPr>
        <xdr:cNvPr id="3" name="image1.jpg" title="Hình ảnh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2063" name="Text Box 15" hidden="1">
          <a:extLst>
            <a:ext uri="{FF2B5EF4-FFF2-40B4-BE49-F238E27FC236}">
              <a16:creationId xmlns:a16="http://schemas.microsoft.com/office/drawing/2014/main" id="{00000000-0008-0000-0000-00000F080000}"/>
            </a:ext>
          </a:extLst>
        </xdr:cNvPr>
        <xdr:cNvSpPr txBox="1">
          <a:spLocks noChangeArrowheads="1"/>
        </xdr:cNvSpPr>
      </xdr:nvSpPr>
      <xdr:spPr bwMode="auto">
        <a:xfrm>
          <a:off x="419100" y="279400"/>
          <a:ext cx="664845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2062" name="Text Box 14" hidden="1">
          <a:extLst>
            <a:ext uri="{FF2B5EF4-FFF2-40B4-BE49-F238E27FC236}">
              <a16:creationId xmlns:a16="http://schemas.microsoft.com/office/drawing/2014/main" id="{00000000-0008-0000-0000-00000E080000}"/>
            </a:ext>
          </a:extLst>
        </xdr:cNvPr>
        <xdr:cNvSpPr txBox="1">
          <a:spLocks noChangeArrowheads="1"/>
        </xdr:cNvSpPr>
      </xdr:nvSpPr>
      <xdr:spPr bwMode="auto">
        <a:xfrm>
          <a:off x="419100" y="279400"/>
          <a:ext cx="664845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2060" name="Text Box 12" hidden="1"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SpPr txBox="1">
          <a:spLocks noChangeArrowheads="1"/>
        </xdr:cNvSpPr>
      </xdr:nvSpPr>
      <xdr:spPr bwMode="auto">
        <a:xfrm>
          <a:off x="419100" y="279400"/>
          <a:ext cx="664845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2059" name="Text Box 11" hidden="1">
          <a:extLst>
            <a:ext uri="{FF2B5EF4-FFF2-40B4-BE49-F238E27FC236}">
              <a16:creationId xmlns:a16="http://schemas.microsoft.com/office/drawing/2014/main" id="{00000000-0008-0000-0000-00000B080000}"/>
            </a:ext>
          </a:extLst>
        </xdr:cNvPr>
        <xdr:cNvSpPr txBox="1">
          <a:spLocks noChangeArrowheads="1"/>
        </xdr:cNvSpPr>
      </xdr:nvSpPr>
      <xdr:spPr bwMode="auto">
        <a:xfrm>
          <a:off x="419100" y="279400"/>
          <a:ext cx="664845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2058" name="Text Box 10" hidden="1"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SpPr txBox="1">
          <a:spLocks noChangeArrowheads="1"/>
        </xdr:cNvSpPr>
      </xdr:nvSpPr>
      <xdr:spPr bwMode="auto">
        <a:xfrm>
          <a:off x="419100" y="279400"/>
          <a:ext cx="664845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2056" name="Text Box 8" hidden="1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SpPr txBox="1">
          <a:spLocks noChangeArrowheads="1"/>
        </xdr:cNvSpPr>
      </xdr:nvSpPr>
      <xdr:spPr bwMode="auto">
        <a:xfrm>
          <a:off x="419100" y="279400"/>
          <a:ext cx="664845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2055" name="Text Box 7" hidden="1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SpPr txBox="1">
          <a:spLocks noChangeArrowheads="1"/>
        </xdr:cNvSpPr>
      </xdr:nvSpPr>
      <xdr:spPr bwMode="auto">
        <a:xfrm>
          <a:off x="419100" y="279400"/>
          <a:ext cx="664845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2053" name="Text Box 5" hidden="1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419100" y="279400"/>
          <a:ext cx="664845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2051" name="Text Box 3" hidden="1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SpPr txBox="1">
          <a:spLocks noChangeArrowheads="1"/>
        </xdr:cNvSpPr>
      </xdr:nvSpPr>
      <xdr:spPr bwMode="auto">
        <a:xfrm>
          <a:off x="419100" y="279400"/>
          <a:ext cx="664845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SpPr txBox="1">
          <a:spLocks noChangeArrowheads="1"/>
        </xdr:cNvSpPr>
      </xdr:nvSpPr>
      <xdr:spPr bwMode="auto">
        <a:xfrm>
          <a:off x="419100" y="279400"/>
          <a:ext cx="664845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266700</xdr:colOff>
      <xdr:row>73</xdr:row>
      <xdr:rowOff>219075</xdr:rowOff>
    </xdr:from>
    <xdr:ext cx="2105025" cy="2105025"/>
    <xdr:pic>
      <xdr:nvPicPr>
        <xdr:cNvPr id="2" name="image2.jpg" title="Hình ảnh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314325</xdr:colOff>
      <xdr:row>69</xdr:row>
      <xdr:rowOff>104775</xdr:rowOff>
    </xdr:from>
    <xdr:ext cx="2638425" cy="2105025"/>
    <xdr:pic>
      <xdr:nvPicPr>
        <xdr:cNvPr id="3" name="image1.jpg" title="Hình ảnh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Nghĩa Hồ Minh" id="{707afeb5-c31f-49a3-a161-ab915ce12328}" providerId="google-sheets"/>
  <x18tc:person displayName="Văn Thành Đỗ" id="{deac2e6b-c415-4474-aead-d730526bd29d}" providerId="google-sheets"/>
</x18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9:O202">
  <tableColumns count="15">
    <tableColumn id="1" xr3:uid="{00000000-0010-0000-0000-000001000000}" name="STT"/>
    <tableColumn id="2" xr3:uid="{00000000-0010-0000-0000-000002000000}" name="Mã VT_x000a_(ID)"/>
    <tableColumn id="3" xr3:uid="{00000000-0010-0000-0000-000003000000}" name="Tên vật tư"/>
    <tableColumn id="4" xr3:uid="{00000000-0010-0000-0000-000004000000}" name="Quy cách / Yêu cầu kỹ thuật"/>
    <tableColumn id="5" xr3:uid="{00000000-0010-0000-0000-000005000000}" name="Đơn vị_x000a_tính"/>
    <tableColumn id="6" xr3:uid="{00000000-0010-0000-0000-000006000000}" name="Ngành / Bộ môn"/>
    <tableColumn id="7" xr3:uid="{00000000-0010-0000-0000-000007000000}" name="Tồn kho_x000a_sổ sách"/>
    <tableColumn id="8" xr3:uid="{00000000-0010-0000-0000-000008000000}" name="Tổng_x000a_đề xuất"/>
    <tableColumn id="9" xr3:uid="{00000000-0010-0000-0000-000009000000}" name="Đã xuất_x000a_thực tế"/>
    <tableColumn id="10" xr3:uid="{00000000-0010-0000-0000-00000A000000}" name="Đang chờ_x000a_xuất kho"/>
    <tableColumn id="11" xr3:uid="{00000000-0010-0000-0000-00000B000000}" name="Số lượng_x000a_thực tế đếm"/>
    <tableColumn id="12" xr3:uid="{00000000-0010-0000-0000-00000C000000}" name="Chênh lệch_x000a_(+Thừa / -Thiếu)"/>
    <tableColumn id="13" xr3:uid="{00000000-0010-0000-0000-00000D000000}" name="Số sau_x000a_hiệu chỉnh"/>
    <tableColumn id="14" xr3:uid="{00000000-0010-0000-0000-00000E000000}" name="Lý do chênh lệch_x000a_&amp; Phương án xử lý"/>
    <tableColumn id="15" xr3:uid="{00000000-0010-0000-0000-00000F000000}" name="Ghi chú"/>
  </tableColumns>
  <tableStyleInfo name="Vật tư Điện tử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9:O12">
  <tableColumns count="15">
    <tableColumn id="1" xr3:uid="{00000000-0010-0000-0100-000001000000}" name="STT"/>
    <tableColumn id="2" xr3:uid="{00000000-0010-0000-0100-000002000000}" name="Mã VT_x000a_(ID)"/>
    <tableColumn id="3" xr3:uid="{00000000-0010-0000-0100-000003000000}" name="Tên vật tư"/>
    <tableColumn id="4" xr3:uid="{00000000-0010-0000-0100-000004000000}" name="Quy cách / Yêu cầu kỹ thuật"/>
    <tableColumn id="5" xr3:uid="{00000000-0010-0000-0100-000005000000}" name="Đơn vị_x000a_tính"/>
    <tableColumn id="6" xr3:uid="{00000000-0010-0000-0100-000006000000}" name="Ngành / Bộ môn"/>
    <tableColumn id="7" xr3:uid="{00000000-0010-0000-0100-000007000000}" name="Tồn kho_x000a_sổ sách"/>
    <tableColumn id="8" xr3:uid="{00000000-0010-0000-0100-000008000000}" name="Tổng_x000a_đề xuất"/>
    <tableColumn id="9" xr3:uid="{00000000-0010-0000-0100-000009000000}" name="Đã xuất_x000a_thực tế"/>
    <tableColumn id="10" xr3:uid="{00000000-0010-0000-0100-00000A000000}" name="Đang chờ_x000a_xuất kho"/>
    <tableColumn id="11" xr3:uid="{00000000-0010-0000-0100-00000B000000}" name="Số lượng_x000a_thực tế đếm"/>
    <tableColumn id="12" xr3:uid="{00000000-0010-0000-0100-00000C000000}" name="Chênh lệch_x000a_(+Thừa / -Thiếu)"/>
    <tableColumn id="13" xr3:uid="{00000000-0010-0000-0100-00000D000000}" name="Số sau_x000a_hiệu chỉnh"/>
    <tableColumn id="14" xr3:uid="{00000000-0010-0000-0100-00000E000000}" name="Lý do chênh lệch_x000a_&amp; Phương án xử lý"/>
    <tableColumn id="15" xr3:uid="{00000000-0010-0000-0100-00000F000000}" name="Ghi chú"/>
  </tableColumns>
  <tableStyleInfo name="Thiết bị Điện tử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9:O155">
  <tableColumns count="15">
    <tableColumn id="1" xr3:uid="{00000000-0010-0000-0200-000001000000}" name="STT"/>
    <tableColumn id="2" xr3:uid="{00000000-0010-0000-0200-000002000000}" name="Mã VT_x000a_(ID)"/>
    <tableColumn id="3" xr3:uid="{00000000-0010-0000-0200-000003000000}" name="Tên vật tư"/>
    <tableColumn id="4" xr3:uid="{00000000-0010-0000-0200-000004000000}" name="Quy cách / Yêu cầu kỹ thuật"/>
    <tableColumn id="5" xr3:uid="{00000000-0010-0000-0200-000005000000}" name="Đơn vị_x000a_tính"/>
    <tableColumn id="6" xr3:uid="{00000000-0010-0000-0200-000006000000}" name="Ngành / Bộ môn"/>
    <tableColumn id="7" xr3:uid="{00000000-0010-0000-0200-000007000000}" name="Tồn kho_x000a_sổ sách"/>
    <tableColumn id="8" xr3:uid="{00000000-0010-0000-0200-000008000000}" name="Tổng_x000a_đề xuất"/>
    <tableColumn id="9" xr3:uid="{00000000-0010-0000-0200-000009000000}" name="Đã xuất_x000a_thực tế"/>
    <tableColumn id="10" xr3:uid="{00000000-0010-0000-0200-00000A000000}" name="Đang chờ_x000a_xuất kho"/>
    <tableColumn id="11" xr3:uid="{00000000-0010-0000-0200-00000B000000}" name="Số lượng_x000a_thực tế đếm"/>
    <tableColumn id="12" xr3:uid="{00000000-0010-0000-0200-00000C000000}" name="Chênh lệch_x000a_(+Thừa / -Thiếu)"/>
    <tableColumn id="13" xr3:uid="{00000000-0010-0000-0200-00000D000000}" name="Số sau_x000a_hiệu chỉnh"/>
    <tableColumn id="14" xr3:uid="{00000000-0010-0000-0200-00000E000000}" name="Lý do chênh lệch_x000a_&amp; Phương án xử lý"/>
    <tableColumn id="15" xr3:uid="{00000000-0010-0000-0200-00000F000000}" name="Ghi chú"/>
  </tableColumns>
  <tableStyleInfo name="Vật tư Cơ điện tử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9:O12">
  <tableColumns count="15">
    <tableColumn id="1" xr3:uid="{00000000-0010-0000-0300-000001000000}" name="STT"/>
    <tableColumn id="2" xr3:uid="{00000000-0010-0000-0300-000002000000}" name="Mã VT_x000a_(ID)"/>
    <tableColumn id="3" xr3:uid="{00000000-0010-0000-0300-000003000000}" name="Tên vật tư"/>
    <tableColumn id="4" xr3:uid="{00000000-0010-0000-0300-000004000000}" name="Quy cách / Yêu cầu kỹ thuật"/>
    <tableColumn id="5" xr3:uid="{00000000-0010-0000-0300-000005000000}" name="Đơn vị_x000a_tính"/>
    <tableColumn id="6" xr3:uid="{00000000-0010-0000-0300-000006000000}" name="Ngành / Bộ môn"/>
    <tableColumn id="7" xr3:uid="{00000000-0010-0000-0300-000007000000}" name="Tồn kho_x000a_sổ sách"/>
    <tableColumn id="8" xr3:uid="{00000000-0010-0000-0300-000008000000}" name="Tổng_x000a_đề xuất"/>
    <tableColumn id="9" xr3:uid="{00000000-0010-0000-0300-000009000000}" name="Đã xuất_x000a_thực tế"/>
    <tableColumn id="10" xr3:uid="{00000000-0010-0000-0300-00000A000000}" name="Đang chờ_x000a_xuất kho"/>
    <tableColumn id="11" xr3:uid="{00000000-0010-0000-0300-00000B000000}" name="Số lượng_x000a_thực tế đếm"/>
    <tableColumn id="12" xr3:uid="{00000000-0010-0000-0300-00000C000000}" name="Chênh lệch_x000a_(+Thừa / -Thiếu)"/>
    <tableColumn id="13" xr3:uid="{00000000-0010-0000-0300-00000D000000}" name="Số sau_x000a_hiệu chỉnh"/>
    <tableColumn id="14" xr3:uid="{00000000-0010-0000-0300-00000E000000}" name="Lý do chênh lệch_x000a_&amp; Phương án xử lý"/>
    <tableColumn id="15" xr3:uid="{00000000-0010-0000-0300-00000F000000}" name="Ghi chú"/>
  </tableColumns>
  <tableStyleInfo name="Thiết bị Cơ điện tử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40" dT="2026-09-25T09:07:39.00" personId="{deac2e6b-c415-4474-aead-d730526bd29d}" id="{abdf7b60-5574-4c45-82ef-119d3f84e826}" done="0">
    <x18tc:text xml:space="preserve">Tên vật tư: Dây CV, Quy Cách: 1mm màu đỏ và màu xanh</x18tc:text>
  </x18tc:threadedComment>
  <x18tc:threadedComment ref="C41" dT="2026-09-25T09:08:21.00" personId="{deac2e6b-c415-4474-aead-d730526bd29d}" id="{f91387cf-3d30-434d-bce2-fb28113de0a1}" done="0">
    <x18tc:text xml:space="preserve">Thay dây CV 1.5mm bằng dây 1mm</x18tc:text>
  </x18tc:threadedComment>
  <x18tc:threadedComment ref="A1" dT="2026-09-25T09:10:39.00" personId="{deac2e6b-c415-4474-aead-d730526bd29d}" id="{b108dda0-59c8-4e29-bc66-0884b25b9f7d}" done="0">
    <x18tc:text xml:space="preserve">5W, đuôi xoay</x18tc:text>
  </x18tc:threadedComment>
  <x18tc:threadedComment ref="A1" dT="2026-09-27T03:09:03.00" personId="{707afeb5-c31f-49a3-a161-ab915ce12328}" id="{96adeda1-c632-4133-9b1f-2602b0fd1b12}" done="0">
    <x18tc:text xml:space="preserve">Cần rõ chủng loại, để phù hợp các đế lắp tại bàn TH?</x18tc:text>
  </x18tc:threadedComment>
  <x18tc:threadedComment ref="D82" dT="2026-09-27T03:10:45.00" personId="{707afeb5-c31f-49a3-a161-ab915ce12328}" id="{73fb203d-988d-4a72-bb49-8f9a116633ce}" done="0">
    <x18tc:text xml:space="preserve">cung cấp thên thông tin hình dáng?</x18tc:text>
  </x18tc:threadedComment>
  <x18tc:threadedComment ref="C21" dT="2026-09-27T03:19:56.00" personId="{707afeb5-c31f-49a3-a161-ab915ce12328}" id="{2f726fcd-7252-4d39-b43e-19cb2991534b}" done="0">
    <x18tc:text xml:space="preserve">Thống nhất tên theo Qui ước?</x18tc:text>
  </x18tc:threadedComment>
  <x18tc:threadedComment ref="A1" dT="2026-09-27T02:41:44.00" personId="{707afeb5-c31f-49a3-a161-ab915ce12328}" id="{ebe89e03-61bd-4b0a-87d4-80a0200082a7}" done="0">
    <x18tc:text xml:space="preserve">Thống nhất tên: Bắp chuối, Búp chuối hay Banana? Đường kính?</x18tc:text>
  </x18tc:threadedComment>
  <x18tc:threadedComment ref="A1" dT="2026-09-27T02:45:16.00" personId="{707afeb5-c31f-49a3-a161-ab915ce12328}" id="{27b0c63e-5b16-4887-9f65-f07ab77bd9e9}" done="0">
    <x18tc:text xml:space="preserve">Dung tích bình?</x18tc:text>
  </x18tc:threadedComment>
  <x18tc:threadedComment ref="A1" dT="2026-09-27T02:13:16.00" personId="{707afeb5-c31f-49a3-a161-ab915ce12328}" id="{9fdb356c-e78e-45fe-9001-4cd949d55514}" done="0">
    <x18tc:text xml:space="preserve">Pha xóa các dòng trống?</x18tc:text>
  </x18tc:threadedComment>
  <x18tc:threadedComment ref="E48" dT="2026-09-27T02:18:15.00" personId="{707afeb5-c31f-49a3-a161-ab915ce12328}" id="{b687f859-b86d-4f20-9650-11b36bc27d83}" done="0">
    <x18tc:text xml:space="preserve">Thống nhất đơn vị: m hay Mét</x18tc:text>
  </x18tc:threadedComment>
  <x18tc:threadedComment ref="A1" dT="2026-09-27T02:31:16.00" personId="{707afeb5-c31f-49a3-a161-ab915ce12328}" id="{46e793c2-fbb2-4fe0-9956-80671421f764}" done="0">
    <x18tc:text xml:space="preserve">Thống nhất tê: Bắp chuối, Búp chuối, Banana...</x18tc:text>
  </x18tc:threadedComment>
  <x18tc:threadedComment ref="A1" dT="2026-09-27T02:34:57.00" personId="{707afeb5-c31f-49a3-a161-ab915ce12328}" id="{2c11198e-3a71-4d25-a61c-fc3e979d4f67}" done="0">
    <x18tc:text xml:space="preserve">Chỉ dự trù vật tư. Nếu có thiết bị, dụng cụ thì cần lập danh sách riêng và có biên bản trình khoa xem xét, giải quyết.</x18tc:text>
  </x18tc:threadedComment>
  <x18tc:threadedComment ref="A1" dT="2026-09-27T03:01:14.00" personId="{707afeb5-c31f-49a3-a161-ab915ce12328}" id="{d5fd7f60-a8c3-4188-bafb-bf99017c82db}" done="0">
    <x18tc:text xml:space="preserve">Thống nhất tên: Bắp chuối, búp chuối hay Banana?</x18tc:text>
  </x18tc:threadedComment>
  <x18tc:threadedComment ref="A1" dT="2026-09-27T03:04:09.00" personId="{707afeb5-c31f-49a3-a161-ab915ce12328}" id="{28d02a7a-88a0-47c6-b1dc-fac94686f364}" done="0">
    <x18tc:text xml:space="preserve">Tên gọi đã phù hợp dải dòng điện?</x18tc:text>
  </x18tc:threadedComment>
  <x18tc:threadedComment ref="A1" dT="2026-09-27T03:07:01.00" personId="{707afeb5-c31f-49a3-a161-ab915ce12328}" id="{35e4909b-6e2e-4ed0-9fba-0f8c906fbf65}" done="0">
    <x18tc:text xml:space="preserve">Điện áp 24VAC các tụ điện (nghề ĐCN)?</x18tc:text>
  </x18tc:threadedComment>
  <x18tc:threadedComment ref="A1" dT="2026-09-27T03:07:28.00" personId="{707afeb5-c31f-49a3-a161-ab915ce12328}" id="{4bbf5295-54d0-4b82-b836-9544375ca72f}" done="0">
    <x18tc:text xml:space="preserve">Dụng cụ?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73" dT="2026-09-27T02:59:26.00" personId="{707afeb5-c31f-49a3-a161-ab915ce12328}" id="{a638b349-f2e3-43a7-9bc6-67c3876f83a2}" done="0">
    <x18tc:text xml:space="preserve">Kiểu bố trí chân?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18" dT="2026-09-27T02:39:43.00" personId="{707afeb5-c31f-49a3-a161-ab915ce12328}" id="{50c283c2-d50d-4deb-b7c8-261db26a2a3d}" done="0">
    <x18tc:text xml:space="preserve">Đường kính?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5" dT="2026-09-27T02:47:18.00" personId="{707afeb5-c31f-49a3-a161-ab915ce12328}" id="{dd005e21-b9b2-4ce4-a231-21487c0346d8}" done="0">
    <x18tc:text xml:space="preserve">Cần bổ sung chủng loại ống?</x18tc:text>
  </x18tc:threadedComment>
  <x18tc:threadedComment ref="C9" dT="2026-09-27T02:53:12.00" personId="{707afeb5-c31f-49a3-a161-ab915ce12328}" id="{dc3485d7-53eb-4ace-85da-3527e2c41557}" done="0">
    <x18tc:text xml:space="preserve">Vật tư này chưa đầy đủ theo đề xuất, T/C phụ trách giảng dạy bổ sung vào danh sách để rà soát, thống nhất.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microsoft.com/office/2019/04/relationships/documenttask" Target="../documenttasks/documenttask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Relationship Id="rId5" Type="http://schemas.microsoft.com/office/2017/10/relationships/threadedComment" Target="../threadedComments/threadedComment2.xml"/><Relationship Id="rId4" Type="http://schemas.microsoft.com/office/2019/04/relationships/documenttask" Target="../documenttasks/documenttask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Relationship Id="rId5" Type="http://schemas.microsoft.com/office/2017/10/relationships/threadedComment" Target="../threadedComments/threadedComment3.xml"/><Relationship Id="rId4" Type="http://schemas.microsoft.com/office/2019/04/relationships/documenttask" Target="../documenttasks/documenttask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Relationship Id="rId4" Type="http://schemas.microsoft.com/office/2017/10/relationships/threadedComment" Target="../threadedComments/threadedComment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31"/>
  <sheetViews>
    <sheetView tabSelected="1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R15" sqref="R15"/>
    </sheetView>
  </sheetViews>
  <sheetFormatPr defaultColWidth="14.453125" defaultRowHeight="15" customHeight="1"/>
  <cols>
    <col min="1" max="1" width="6" customWidth="1"/>
    <col min="2" max="2" width="8.7265625" hidden="1" customWidth="1"/>
    <col min="3" max="3" width="37.7265625" customWidth="1"/>
    <col min="4" max="4" width="48.453125" customWidth="1"/>
    <col min="5" max="5" width="9" customWidth="1"/>
    <col min="6" max="6" width="22" hidden="1" customWidth="1"/>
    <col min="7" max="7" width="14" hidden="1" customWidth="1"/>
    <col min="8" max="10" width="13" hidden="1" customWidth="1"/>
    <col min="11" max="13" width="16" hidden="1" customWidth="1"/>
    <col min="14" max="14" width="32" hidden="1" customWidth="1"/>
    <col min="15" max="15" width="8.81640625" customWidth="1"/>
    <col min="16" max="26" width="8.7265625" customWidth="1"/>
  </cols>
  <sheetData>
    <row r="1" spans="1:15" ht="14.5">
      <c r="A1" s="87" t="s">
        <v>0</v>
      </c>
      <c r="B1" s="88"/>
      <c r="C1" s="88"/>
      <c r="D1" s="88"/>
      <c r="E1" s="88"/>
      <c r="F1" s="88"/>
      <c r="L1" s="89" t="s">
        <v>1</v>
      </c>
      <c r="M1" s="88"/>
      <c r="N1" s="88"/>
      <c r="O1" s="88"/>
    </row>
    <row r="2" spans="1:15" ht="14.5">
      <c r="A2" s="90" t="s">
        <v>2</v>
      </c>
      <c r="B2" s="88"/>
      <c r="C2" s="88"/>
      <c r="D2" s="88"/>
      <c r="E2" s="88"/>
      <c r="F2" s="88"/>
    </row>
    <row r="3" spans="1:15" ht="14.5" hidden="1"/>
    <row r="4" spans="1:15" ht="27.75" customHeight="1">
      <c r="A4" s="91" t="s">
        <v>3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</row>
    <row r="5" spans="1:15" ht="19.5" customHeight="1">
      <c r="A5" s="92" t="s">
        <v>4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</row>
    <row r="6" spans="1:15" ht="18" hidden="1" customHeight="1">
      <c r="A6" s="93" t="s">
        <v>6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</row>
    <row r="7" spans="1:15" ht="14.5" hidden="1"/>
    <row r="8" spans="1:15" ht="24" hidden="1" customHeight="1">
      <c r="A8" s="94" t="s">
        <v>8</v>
      </c>
      <c r="B8" s="95"/>
      <c r="C8" s="95"/>
      <c r="D8" s="95"/>
      <c r="E8" s="95"/>
      <c r="F8" s="96"/>
      <c r="G8" s="100" t="s">
        <v>11</v>
      </c>
      <c r="H8" s="95"/>
      <c r="I8" s="95"/>
      <c r="J8" s="96"/>
      <c r="K8" s="101" t="s">
        <v>12</v>
      </c>
      <c r="L8" s="96"/>
      <c r="M8" s="97"/>
      <c r="N8" s="95"/>
      <c r="O8" s="96"/>
    </row>
    <row r="9" spans="1:15" ht="27.75" customHeight="1">
      <c r="A9" s="2" t="s">
        <v>13</v>
      </c>
      <c r="B9" s="2" t="s">
        <v>14</v>
      </c>
      <c r="C9" s="2" t="s">
        <v>15</v>
      </c>
      <c r="D9" s="4" t="s">
        <v>16</v>
      </c>
      <c r="E9" s="2" t="s">
        <v>17</v>
      </c>
      <c r="F9" s="2" t="s">
        <v>18</v>
      </c>
      <c r="G9" s="6" t="s">
        <v>19</v>
      </c>
      <c r="H9" s="6" t="s">
        <v>20</v>
      </c>
      <c r="I9" s="6" t="s">
        <v>21</v>
      </c>
      <c r="J9" s="6" t="s">
        <v>22</v>
      </c>
      <c r="K9" s="8" t="s">
        <v>23</v>
      </c>
      <c r="L9" s="8" t="s">
        <v>24</v>
      </c>
      <c r="M9" s="10" t="s">
        <v>25</v>
      </c>
      <c r="N9" s="10" t="s">
        <v>26</v>
      </c>
      <c r="O9" s="10" t="s">
        <v>27</v>
      </c>
    </row>
    <row r="10" spans="1:15" ht="21.75" customHeight="1">
      <c r="A10" s="13">
        <v>1</v>
      </c>
      <c r="B10" s="15">
        <v>1728</v>
      </c>
      <c r="C10" s="19" t="s">
        <v>30</v>
      </c>
      <c r="D10" s="21" t="s">
        <v>35</v>
      </c>
      <c r="E10" s="24" t="s">
        <v>38</v>
      </c>
      <c r="F10" s="26" t="s">
        <v>40</v>
      </c>
      <c r="G10" s="28">
        <v>0</v>
      </c>
      <c r="H10" s="31">
        <v>0</v>
      </c>
      <c r="I10" s="31">
        <v>0</v>
      </c>
      <c r="J10" s="31">
        <v>0</v>
      </c>
      <c r="K10" s="32"/>
      <c r="L10" s="37" t="str">
        <f t="shared" ref="L10:L20" si="0">IF(ISBLANK(K10),"",K10-G10)</f>
        <v/>
      </c>
      <c r="M10" s="38"/>
      <c r="N10" s="29" t="s">
        <v>48</v>
      </c>
      <c r="O10" s="29" t="s">
        <v>48</v>
      </c>
    </row>
    <row r="11" spans="1:15" ht="21.75" customHeight="1">
      <c r="A11" s="13">
        <v>2</v>
      </c>
      <c r="B11" s="15">
        <v>1729</v>
      </c>
      <c r="C11" s="19" t="s">
        <v>51</v>
      </c>
      <c r="D11" s="21" t="s">
        <v>52</v>
      </c>
      <c r="E11" s="24" t="s">
        <v>38</v>
      </c>
      <c r="F11" s="26" t="s">
        <v>40</v>
      </c>
      <c r="G11" s="28">
        <v>0</v>
      </c>
      <c r="H11" s="31">
        <v>0</v>
      </c>
      <c r="I11" s="31">
        <v>0</v>
      </c>
      <c r="J11" s="31">
        <v>0</v>
      </c>
      <c r="K11" s="32"/>
      <c r="L11" s="37" t="str">
        <f t="shared" si="0"/>
        <v/>
      </c>
      <c r="M11" s="38"/>
      <c r="N11" s="29" t="s">
        <v>48</v>
      </c>
      <c r="O11" s="29" t="s">
        <v>48</v>
      </c>
    </row>
    <row r="12" spans="1:15" ht="21.75" customHeight="1">
      <c r="A12" s="13">
        <v>3</v>
      </c>
      <c r="B12" s="17">
        <v>2390</v>
      </c>
      <c r="C12" s="45" t="s">
        <v>56</v>
      </c>
      <c r="D12" s="25" t="s">
        <v>58</v>
      </c>
      <c r="E12" s="13" t="s">
        <v>38</v>
      </c>
      <c r="F12" s="29" t="s">
        <v>40</v>
      </c>
      <c r="G12" s="33">
        <v>20</v>
      </c>
      <c r="H12" s="34">
        <v>2</v>
      </c>
      <c r="I12" s="34">
        <v>0</v>
      </c>
      <c r="J12" s="34">
        <v>2</v>
      </c>
      <c r="K12" s="32"/>
      <c r="L12" s="37" t="str">
        <f t="shared" si="0"/>
        <v/>
      </c>
      <c r="M12" s="38"/>
      <c r="N12" s="29" t="s">
        <v>48</v>
      </c>
      <c r="O12" s="29" t="s">
        <v>48</v>
      </c>
    </row>
    <row r="13" spans="1:15" ht="21.75" customHeight="1">
      <c r="A13" s="13">
        <v>4</v>
      </c>
      <c r="B13" s="15">
        <v>1732</v>
      </c>
      <c r="C13" s="19" t="s">
        <v>62</v>
      </c>
      <c r="D13" s="21" t="s">
        <v>63</v>
      </c>
      <c r="E13" s="24" t="s">
        <v>37</v>
      </c>
      <c r="F13" s="26" t="s">
        <v>40</v>
      </c>
      <c r="G13" s="28">
        <v>0</v>
      </c>
      <c r="H13" s="31">
        <v>0</v>
      </c>
      <c r="I13" s="31">
        <v>0</v>
      </c>
      <c r="J13" s="31">
        <v>0</v>
      </c>
      <c r="K13" s="32"/>
      <c r="L13" s="37" t="str">
        <f t="shared" si="0"/>
        <v/>
      </c>
      <c r="M13" s="38"/>
      <c r="N13" s="29" t="s">
        <v>48</v>
      </c>
      <c r="O13" s="29" t="s">
        <v>48</v>
      </c>
    </row>
    <row r="14" spans="1:15" ht="21.75" customHeight="1">
      <c r="A14" s="13">
        <v>5</v>
      </c>
      <c r="B14" s="17">
        <v>1733</v>
      </c>
      <c r="C14" s="45" t="s">
        <v>62</v>
      </c>
      <c r="D14" s="25" t="s">
        <v>69</v>
      </c>
      <c r="E14" s="13" t="s">
        <v>37</v>
      </c>
      <c r="F14" s="29" t="s">
        <v>40</v>
      </c>
      <c r="G14" s="33">
        <v>0</v>
      </c>
      <c r="H14" s="34">
        <v>0</v>
      </c>
      <c r="I14" s="34">
        <v>0</v>
      </c>
      <c r="J14" s="34">
        <v>0</v>
      </c>
      <c r="K14" s="32"/>
      <c r="L14" s="37" t="str">
        <f t="shared" si="0"/>
        <v/>
      </c>
      <c r="M14" s="38"/>
      <c r="N14" s="29" t="s">
        <v>48</v>
      </c>
      <c r="O14" s="29" t="s">
        <v>48</v>
      </c>
    </row>
    <row r="15" spans="1:15" ht="21.75" customHeight="1">
      <c r="A15" s="13">
        <v>6</v>
      </c>
      <c r="B15" s="15">
        <v>1731</v>
      </c>
      <c r="C15" s="19" t="s">
        <v>75</v>
      </c>
      <c r="D15" s="21" t="s">
        <v>76</v>
      </c>
      <c r="E15" s="24" t="s">
        <v>37</v>
      </c>
      <c r="F15" s="26" t="s">
        <v>40</v>
      </c>
      <c r="G15" s="28">
        <v>0</v>
      </c>
      <c r="H15" s="31">
        <v>0</v>
      </c>
      <c r="I15" s="31">
        <v>0</v>
      </c>
      <c r="J15" s="31">
        <v>0</v>
      </c>
      <c r="K15" s="32"/>
      <c r="L15" s="37" t="str">
        <f t="shared" si="0"/>
        <v/>
      </c>
      <c r="M15" s="38"/>
      <c r="N15" s="29" t="s">
        <v>48</v>
      </c>
      <c r="O15" s="29" t="s">
        <v>48</v>
      </c>
    </row>
    <row r="16" spans="1:15" ht="21.75" customHeight="1">
      <c r="A16" s="13">
        <v>7</v>
      </c>
      <c r="B16" s="15">
        <v>1734</v>
      </c>
      <c r="C16" s="19" t="s">
        <v>80</v>
      </c>
      <c r="D16" s="21" t="s">
        <v>81</v>
      </c>
      <c r="E16" s="24" t="s">
        <v>37</v>
      </c>
      <c r="F16" s="26" t="s">
        <v>40</v>
      </c>
      <c r="G16" s="28">
        <v>0</v>
      </c>
      <c r="H16" s="31">
        <v>0</v>
      </c>
      <c r="I16" s="31">
        <v>0</v>
      </c>
      <c r="J16" s="31">
        <v>0</v>
      </c>
      <c r="K16" s="32"/>
      <c r="L16" s="37" t="str">
        <f t="shared" si="0"/>
        <v/>
      </c>
      <c r="M16" s="38"/>
      <c r="N16" s="29" t="s">
        <v>48</v>
      </c>
      <c r="O16" s="29" t="s">
        <v>48</v>
      </c>
    </row>
    <row r="17" spans="1:15" ht="21.75" customHeight="1">
      <c r="A17" s="13">
        <v>8</v>
      </c>
      <c r="B17" s="17">
        <v>2277</v>
      </c>
      <c r="C17" s="45" t="s">
        <v>85</v>
      </c>
      <c r="D17" s="25" t="s">
        <v>88</v>
      </c>
      <c r="E17" s="13" t="s">
        <v>38</v>
      </c>
      <c r="F17" s="29" t="s">
        <v>40</v>
      </c>
      <c r="G17" s="33">
        <v>0</v>
      </c>
      <c r="H17" s="34">
        <v>0</v>
      </c>
      <c r="I17" s="34">
        <v>0</v>
      </c>
      <c r="J17" s="34">
        <v>0</v>
      </c>
      <c r="K17" s="32"/>
      <c r="L17" s="37" t="str">
        <f t="shared" si="0"/>
        <v/>
      </c>
      <c r="M17" s="38"/>
      <c r="N17" s="29" t="s">
        <v>48</v>
      </c>
      <c r="O17" s="29" t="s">
        <v>48</v>
      </c>
    </row>
    <row r="18" spans="1:15" ht="21.75" customHeight="1">
      <c r="A18" s="13">
        <v>9</v>
      </c>
      <c r="B18" s="17">
        <v>2290</v>
      </c>
      <c r="C18" s="45" t="s">
        <v>92</v>
      </c>
      <c r="D18" s="25" t="s">
        <v>94</v>
      </c>
      <c r="E18" s="13" t="s">
        <v>38</v>
      </c>
      <c r="F18" s="29" t="s">
        <v>40</v>
      </c>
      <c r="G18" s="33">
        <v>0</v>
      </c>
      <c r="H18" s="34">
        <v>0</v>
      </c>
      <c r="I18" s="34">
        <v>0</v>
      </c>
      <c r="J18" s="34">
        <v>0</v>
      </c>
      <c r="K18" s="32"/>
      <c r="L18" s="37" t="str">
        <f t="shared" si="0"/>
        <v/>
      </c>
      <c r="M18" s="38"/>
      <c r="N18" s="29" t="s">
        <v>48</v>
      </c>
      <c r="O18" s="29" t="s">
        <v>48</v>
      </c>
    </row>
    <row r="19" spans="1:15" ht="21.75" customHeight="1">
      <c r="A19" s="13">
        <v>10</v>
      </c>
      <c r="B19" s="15">
        <v>2304</v>
      </c>
      <c r="C19" s="19" t="s">
        <v>97</v>
      </c>
      <c r="D19" s="21" t="s">
        <v>99</v>
      </c>
      <c r="E19" s="24" t="s">
        <v>100</v>
      </c>
      <c r="F19" s="26" t="s">
        <v>40</v>
      </c>
      <c r="G19" s="28">
        <v>0</v>
      </c>
      <c r="H19" s="31">
        <v>0</v>
      </c>
      <c r="I19" s="31">
        <v>0</v>
      </c>
      <c r="J19" s="31">
        <v>0</v>
      </c>
      <c r="K19" s="32"/>
      <c r="L19" s="37" t="str">
        <f t="shared" si="0"/>
        <v/>
      </c>
      <c r="M19" s="38"/>
      <c r="N19" s="29" t="s">
        <v>48</v>
      </c>
      <c r="O19" s="29" t="s">
        <v>48</v>
      </c>
    </row>
    <row r="20" spans="1:15" ht="21.75" customHeight="1">
      <c r="A20" s="13">
        <v>11</v>
      </c>
      <c r="B20" s="15">
        <v>2288</v>
      </c>
      <c r="C20" s="19" t="s">
        <v>97</v>
      </c>
      <c r="D20" s="21" t="s">
        <v>105</v>
      </c>
      <c r="E20" s="24" t="s">
        <v>106</v>
      </c>
      <c r="F20" s="26" t="s">
        <v>40</v>
      </c>
      <c r="G20" s="28">
        <v>0</v>
      </c>
      <c r="H20" s="31">
        <v>0</v>
      </c>
      <c r="I20" s="31">
        <v>0</v>
      </c>
      <c r="J20" s="31">
        <v>0</v>
      </c>
      <c r="K20" s="32"/>
      <c r="L20" s="37" t="str">
        <f t="shared" si="0"/>
        <v/>
      </c>
      <c r="M20" s="38"/>
      <c r="N20" s="29" t="s">
        <v>48</v>
      </c>
      <c r="O20" s="29" t="s">
        <v>48</v>
      </c>
    </row>
    <row r="21" spans="1:15" ht="21.75" customHeight="1">
      <c r="A21" s="13">
        <v>12</v>
      </c>
      <c r="B21" s="17"/>
      <c r="C21" s="19" t="s">
        <v>109</v>
      </c>
      <c r="D21" s="21" t="s">
        <v>110</v>
      </c>
      <c r="E21" s="13" t="s">
        <v>111</v>
      </c>
      <c r="F21" s="29"/>
      <c r="G21" s="33"/>
      <c r="H21" s="34"/>
      <c r="I21" s="34"/>
      <c r="J21" s="34"/>
      <c r="K21" s="32"/>
      <c r="L21" s="37"/>
      <c r="M21" s="38"/>
      <c r="N21" s="29"/>
      <c r="O21" s="29"/>
    </row>
    <row r="22" spans="1:15" ht="21.75" customHeight="1">
      <c r="A22" s="13">
        <v>13</v>
      </c>
      <c r="B22" s="15"/>
      <c r="C22" s="19" t="s">
        <v>109</v>
      </c>
      <c r="D22" s="21" t="s">
        <v>114</v>
      </c>
      <c r="E22" s="24" t="s">
        <v>111</v>
      </c>
      <c r="F22" s="26"/>
      <c r="G22" s="28"/>
      <c r="H22" s="31"/>
      <c r="I22" s="31"/>
      <c r="J22" s="31"/>
      <c r="K22" s="32"/>
      <c r="L22" s="37"/>
      <c r="M22" s="38"/>
      <c r="N22" s="29"/>
      <c r="O22" s="29"/>
    </row>
    <row r="23" spans="1:15" ht="21.75" customHeight="1">
      <c r="A23" s="13">
        <v>14</v>
      </c>
      <c r="B23" s="15"/>
      <c r="C23" s="19" t="s">
        <v>119</v>
      </c>
      <c r="D23" s="21" t="s">
        <v>120</v>
      </c>
      <c r="E23" s="24" t="s">
        <v>37</v>
      </c>
      <c r="F23" s="26"/>
      <c r="G23" s="28"/>
      <c r="H23" s="31"/>
      <c r="I23" s="31"/>
      <c r="J23" s="31"/>
      <c r="K23" s="32"/>
      <c r="L23" s="37"/>
      <c r="M23" s="38"/>
      <c r="N23" s="29"/>
      <c r="O23" s="29"/>
    </row>
    <row r="24" spans="1:15" ht="21.75" customHeight="1">
      <c r="A24" s="13">
        <v>15</v>
      </c>
      <c r="B24" s="15"/>
      <c r="C24" s="19" t="s">
        <v>119</v>
      </c>
      <c r="D24" s="21" t="s">
        <v>125</v>
      </c>
      <c r="E24" s="24" t="s">
        <v>37</v>
      </c>
      <c r="F24" s="26"/>
      <c r="G24" s="28"/>
      <c r="H24" s="31"/>
      <c r="I24" s="31"/>
      <c r="J24" s="31"/>
      <c r="K24" s="32"/>
      <c r="L24" s="37"/>
      <c r="M24" s="38"/>
      <c r="N24" s="29"/>
      <c r="O24" s="29"/>
    </row>
    <row r="25" spans="1:15" ht="21.75" customHeight="1">
      <c r="A25" s="13">
        <v>16</v>
      </c>
      <c r="B25" s="15"/>
      <c r="C25" s="19" t="s">
        <v>119</v>
      </c>
      <c r="D25" s="21" t="s">
        <v>127</v>
      </c>
      <c r="E25" s="24" t="s">
        <v>37</v>
      </c>
      <c r="F25" s="26"/>
      <c r="G25" s="28"/>
      <c r="H25" s="31"/>
      <c r="I25" s="31"/>
      <c r="J25" s="31"/>
      <c r="K25" s="32"/>
      <c r="L25" s="37"/>
      <c r="M25" s="38"/>
      <c r="N25" s="29"/>
      <c r="O25" s="29"/>
    </row>
    <row r="26" spans="1:15" ht="21.75" customHeight="1">
      <c r="A26" s="13">
        <v>17</v>
      </c>
      <c r="B26" s="15"/>
      <c r="C26" s="19" t="s">
        <v>119</v>
      </c>
      <c r="D26" s="21" t="s">
        <v>131</v>
      </c>
      <c r="E26" s="24" t="s">
        <v>37</v>
      </c>
      <c r="F26" s="26"/>
      <c r="G26" s="28"/>
      <c r="H26" s="31"/>
      <c r="I26" s="31"/>
      <c r="J26" s="31"/>
      <c r="K26" s="32"/>
      <c r="L26" s="37"/>
      <c r="M26" s="38"/>
      <c r="N26" s="29"/>
      <c r="O26" s="29"/>
    </row>
    <row r="27" spans="1:15" ht="21.75" customHeight="1">
      <c r="A27" s="13">
        <v>18</v>
      </c>
      <c r="B27" s="15"/>
      <c r="C27" s="19" t="s">
        <v>134</v>
      </c>
      <c r="D27" s="21" t="s">
        <v>135</v>
      </c>
      <c r="E27" s="24" t="s">
        <v>37</v>
      </c>
      <c r="F27" s="26"/>
      <c r="G27" s="28"/>
      <c r="H27" s="31"/>
      <c r="I27" s="31"/>
      <c r="J27" s="31"/>
      <c r="K27" s="32"/>
      <c r="L27" s="37"/>
      <c r="M27" s="38"/>
      <c r="N27" s="29"/>
      <c r="O27" s="29"/>
    </row>
    <row r="28" spans="1:15" ht="21.75" customHeight="1">
      <c r="A28" s="13">
        <v>19</v>
      </c>
      <c r="B28" s="15"/>
      <c r="C28" s="19" t="s">
        <v>136</v>
      </c>
      <c r="D28" s="21" t="s">
        <v>110</v>
      </c>
      <c r="E28" s="24" t="s">
        <v>37</v>
      </c>
      <c r="F28" s="26"/>
      <c r="G28" s="28"/>
      <c r="H28" s="31"/>
      <c r="I28" s="31"/>
      <c r="J28" s="31"/>
      <c r="K28" s="32"/>
      <c r="L28" s="37"/>
      <c r="M28" s="38"/>
      <c r="N28" s="29"/>
      <c r="O28" s="29"/>
    </row>
    <row r="29" spans="1:15" ht="21.75" customHeight="1">
      <c r="A29" s="13">
        <v>20</v>
      </c>
      <c r="B29" s="15"/>
      <c r="C29" s="19" t="s">
        <v>136</v>
      </c>
      <c r="D29" s="21" t="s">
        <v>114</v>
      </c>
      <c r="E29" s="24" t="s">
        <v>37</v>
      </c>
      <c r="F29" s="26"/>
      <c r="G29" s="28"/>
      <c r="H29" s="31"/>
      <c r="I29" s="31"/>
      <c r="J29" s="31"/>
      <c r="K29" s="32"/>
      <c r="L29" s="37"/>
      <c r="M29" s="38"/>
      <c r="N29" s="29"/>
      <c r="O29" s="29"/>
    </row>
    <row r="30" spans="1:15" ht="21.75" customHeight="1">
      <c r="A30" s="13">
        <v>21</v>
      </c>
      <c r="B30" s="15"/>
      <c r="C30" s="19" t="s">
        <v>147</v>
      </c>
      <c r="D30" s="21" t="s">
        <v>110</v>
      </c>
      <c r="E30" s="24" t="s">
        <v>37</v>
      </c>
      <c r="F30" s="26"/>
      <c r="G30" s="28"/>
      <c r="H30" s="31"/>
      <c r="I30" s="31"/>
      <c r="J30" s="31"/>
      <c r="K30" s="32"/>
      <c r="L30" s="37"/>
      <c r="M30" s="38"/>
      <c r="N30" s="29"/>
      <c r="O30" s="29"/>
    </row>
    <row r="31" spans="1:15" ht="21.75" customHeight="1">
      <c r="A31" s="13">
        <v>22</v>
      </c>
      <c r="B31" s="15"/>
      <c r="C31" s="19" t="s">
        <v>147</v>
      </c>
      <c r="D31" s="21" t="s">
        <v>114</v>
      </c>
      <c r="E31" s="24" t="s">
        <v>37</v>
      </c>
      <c r="F31" s="26"/>
      <c r="G31" s="28"/>
      <c r="H31" s="31"/>
      <c r="I31" s="31"/>
      <c r="J31" s="31"/>
      <c r="K31" s="32"/>
      <c r="L31" s="37"/>
      <c r="M31" s="38"/>
      <c r="N31" s="29"/>
      <c r="O31" s="29"/>
    </row>
    <row r="32" spans="1:15" ht="21.75" customHeight="1">
      <c r="A32" s="13">
        <v>23</v>
      </c>
      <c r="B32" s="15"/>
      <c r="C32" s="19" t="s">
        <v>152</v>
      </c>
      <c r="D32" s="21" t="s">
        <v>153</v>
      </c>
      <c r="E32" s="24" t="s">
        <v>37</v>
      </c>
      <c r="F32" s="26"/>
      <c r="G32" s="28"/>
      <c r="H32" s="31"/>
      <c r="I32" s="31"/>
      <c r="J32" s="31"/>
      <c r="K32" s="32"/>
      <c r="L32" s="37"/>
      <c r="M32" s="38"/>
      <c r="N32" s="29"/>
      <c r="O32" s="29"/>
    </row>
    <row r="33" spans="1:15" ht="21.75" customHeight="1">
      <c r="A33" s="13">
        <v>24</v>
      </c>
      <c r="B33" s="15"/>
      <c r="C33" s="19" t="s">
        <v>152</v>
      </c>
      <c r="D33" s="21" t="s">
        <v>156</v>
      </c>
      <c r="E33" s="24" t="s">
        <v>37</v>
      </c>
      <c r="F33" s="26"/>
      <c r="G33" s="28"/>
      <c r="H33" s="31"/>
      <c r="I33" s="31"/>
      <c r="J33" s="31"/>
      <c r="K33" s="32"/>
      <c r="L33" s="37"/>
      <c r="M33" s="38"/>
      <c r="N33" s="29"/>
      <c r="O33" s="29"/>
    </row>
    <row r="34" spans="1:15" ht="21.75" customHeight="1">
      <c r="A34" s="13">
        <v>25</v>
      </c>
      <c r="B34" s="15"/>
      <c r="C34" s="19" t="s">
        <v>162</v>
      </c>
      <c r="D34" s="21" t="s">
        <v>163</v>
      </c>
      <c r="E34" s="24" t="s">
        <v>37</v>
      </c>
      <c r="F34" s="26"/>
      <c r="G34" s="28"/>
      <c r="H34" s="31"/>
      <c r="I34" s="31"/>
      <c r="J34" s="31"/>
      <c r="K34" s="32"/>
      <c r="L34" s="37"/>
      <c r="M34" s="38"/>
      <c r="N34" s="29"/>
      <c r="O34" s="29"/>
    </row>
    <row r="35" spans="1:15" ht="21.75" customHeight="1">
      <c r="A35" s="13">
        <v>26</v>
      </c>
      <c r="B35" s="17"/>
      <c r="C35" s="19" t="s">
        <v>162</v>
      </c>
      <c r="D35" s="21" t="s">
        <v>168</v>
      </c>
      <c r="E35" s="24" t="s">
        <v>37</v>
      </c>
      <c r="F35" s="26"/>
      <c r="G35" s="28"/>
      <c r="H35" s="31"/>
      <c r="I35" s="31"/>
      <c r="J35" s="31"/>
      <c r="K35" s="32"/>
      <c r="L35" s="37"/>
      <c r="M35" s="38"/>
      <c r="N35" s="29"/>
      <c r="O35" s="29"/>
    </row>
    <row r="36" spans="1:15" ht="21.75" customHeight="1">
      <c r="A36" s="13">
        <v>27</v>
      </c>
      <c r="B36" s="17"/>
      <c r="C36" s="19" t="s">
        <v>169</v>
      </c>
      <c r="D36" s="21" t="s">
        <v>110</v>
      </c>
      <c r="E36" s="24" t="s">
        <v>37</v>
      </c>
      <c r="F36" s="29"/>
      <c r="G36" s="33"/>
      <c r="H36" s="34"/>
      <c r="I36" s="34"/>
      <c r="J36" s="34"/>
      <c r="K36" s="32"/>
      <c r="L36" s="37"/>
      <c r="M36" s="38"/>
      <c r="N36" s="29"/>
      <c r="O36" s="29"/>
    </row>
    <row r="37" spans="1:15" ht="21.75" customHeight="1">
      <c r="A37" s="13">
        <v>28</v>
      </c>
      <c r="B37" s="15"/>
      <c r="C37" s="19" t="s">
        <v>173</v>
      </c>
      <c r="D37" s="21" t="s">
        <v>174</v>
      </c>
      <c r="E37" s="24" t="s">
        <v>175</v>
      </c>
      <c r="F37" s="26"/>
      <c r="G37" s="28"/>
      <c r="H37" s="31"/>
      <c r="I37" s="31"/>
      <c r="J37" s="31"/>
      <c r="K37" s="32"/>
      <c r="L37" s="37"/>
      <c r="M37" s="38"/>
      <c r="N37" s="29"/>
      <c r="O37" s="29"/>
    </row>
    <row r="38" spans="1:15" ht="21.75" customHeight="1">
      <c r="A38" s="13">
        <v>29</v>
      </c>
      <c r="B38" s="17">
        <v>1751</v>
      </c>
      <c r="C38" s="19" t="s">
        <v>179</v>
      </c>
      <c r="D38" s="25" t="s">
        <v>180</v>
      </c>
      <c r="E38" s="24" t="s">
        <v>111</v>
      </c>
      <c r="F38" s="29" t="s">
        <v>40</v>
      </c>
      <c r="G38" s="33">
        <v>0</v>
      </c>
      <c r="H38" s="34">
        <v>0</v>
      </c>
      <c r="I38" s="34">
        <v>0</v>
      </c>
      <c r="J38" s="34">
        <v>0</v>
      </c>
      <c r="K38" s="32"/>
      <c r="L38" s="37" t="str">
        <f t="shared" ref="L38:L83" si="1">IF(ISBLANK(K38),"",K38-G38)</f>
        <v/>
      </c>
      <c r="M38" s="38"/>
      <c r="N38" s="29" t="s">
        <v>48</v>
      </c>
      <c r="O38" s="29" t="s">
        <v>48</v>
      </c>
    </row>
    <row r="39" spans="1:15" ht="21.75" customHeight="1">
      <c r="A39" s="13">
        <v>30</v>
      </c>
      <c r="B39" s="15">
        <v>1748</v>
      </c>
      <c r="C39" s="19" t="s">
        <v>188</v>
      </c>
      <c r="D39" s="21" t="s">
        <v>180</v>
      </c>
      <c r="E39" s="24" t="s">
        <v>111</v>
      </c>
      <c r="F39" s="26" t="s">
        <v>40</v>
      </c>
      <c r="G39" s="28">
        <v>0</v>
      </c>
      <c r="H39" s="31">
        <v>0</v>
      </c>
      <c r="I39" s="31">
        <v>0</v>
      </c>
      <c r="J39" s="31">
        <v>0</v>
      </c>
      <c r="K39" s="32"/>
      <c r="L39" s="37" t="str">
        <f t="shared" si="1"/>
        <v/>
      </c>
      <c r="M39" s="38"/>
      <c r="N39" s="29" t="s">
        <v>48</v>
      </c>
      <c r="O39" s="29" t="s">
        <v>48</v>
      </c>
    </row>
    <row r="40" spans="1:15" ht="21.75" customHeight="1">
      <c r="A40" s="13">
        <v>31</v>
      </c>
      <c r="B40" s="15">
        <v>1746</v>
      </c>
      <c r="C40" s="19" t="s">
        <v>193</v>
      </c>
      <c r="D40" s="21" t="s">
        <v>180</v>
      </c>
      <c r="E40" s="24" t="s">
        <v>111</v>
      </c>
      <c r="F40" s="26" t="s">
        <v>40</v>
      </c>
      <c r="G40" s="28">
        <v>0</v>
      </c>
      <c r="H40" s="31">
        <v>0</v>
      </c>
      <c r="I40" s="31">
        <v>0</v>
      </c>
      <c r="J40" s="31">
        <v>0</v>
      </c>
      <c r="K40" s="32"/>
      <c r="L40" s="37" t="str">
        <f t="shared" si="1"/>
        <v/>
      </c>
      <c r="M40" s="38"/>
      <c r="N40" s="29" t="s">
        <v>48</v>
      </c>
      <c r="O40" s="29" t="s">
        <v>48</v>
      </c>
    </row>
    <row r="41" spans="1:15" ht="21.75" customHeight="1">
      <c r="A41" s="13">
        <v>32</v>
      </c>
      <c r="B41" s="17">
        <v>1747</v>
      </c>
      <c r="C41" s="19" t="s">
        <v>196</v>
      </c>
      <c r="D41" s="25" t="s">
        <v>180</v>
      </c>
      <c r="E41" s="24" t="s">
        <v>111</v>
      </c>
      <c r="F41" s="29" t="s">
        <v>40</v>
      </c>
      <c r="G41" s="33">
        <v>0</v>
      </c>
      <c r="H41" s="34">
        <v>0</v>
      </c>
      <c r="I41" s="34">
        <v>0</v>
      </c>
      <c r="J41" s="34">
        <v>0</v>
      </c>
      <c r="K41" s="32"/>
      <c r="L41" s="37" t="str">
        <f t="shared" si="1"/>
        <v/>
      </c>
      <c r="M41" s="38"/>
      <c r="N41" s="29" t="s">
        <v>48</v>
      </c>
      <c r="O41" s="29" t="s">
        <v>48</v>
      </c>
    </row>
    <row r="42" spans="1:15" ht="21.75" customHeight="1">
      <c r="A42" s="13">
        <v>33</v>
      </c>
      <c r="B42" s="15">
        <v>2327</v>
      </c>
      <c r="C42" s="19" t="s">
        <v>201</v>
      </c>
      <c r="D42" s="21" t="s">
        <v>180</v>
      </c>
      <c r="E42" s="24" t="s">
        <v>111</v>
      </c>
      <c r="F42" s="26" t="s">
        <v>40</v>
      </c>
      <c r="G42" s="28">
        <v>0</v>
      </c>
      <c r="H42" s="31">
        <v>0</v>
      </c>
      <c r="I42" s="31">
        <v>0</v>
      </c>
      <c r="J42" s="31">
        <v>0</v>
      </c>
      <c r="K42" s="32"/>
      <c r="L42" s="37" t="str">
        <f t="shared" si="1"/>
        <v/>
      </c>
      <c r="M42" s="38"/>
      <c r="N42" s="29" t="s">
        <v>48</v>
      </c>
      <c r="O42" s="29" t="s">
        <v>48</v>
      </c>
    </row>
    <row r="43" spans="1:15" ht="21.75" customHeight="1">
      <c r="A43" s="13">
        <v>34</v>
      </c>
      <c r="B43" s="17">
        <v>2328</v>
      </c>
      <c r="C43" s="19" t="s">
        <v>203</v>
      </c>
      <c r="D43" s="25" t="s">
        <v>180</v>
      </c>
      <c r="E43" s="24" t="s">
        <v>111</v>
      </c>
      <c r="F43" s="29" t="s">
        <v>40</v>
      </c>
      <c r="G43" s="33">
        <v>0</v>
      </c>
      <c r="H43" s="34">
        <v>0</v>
      </c>
      <c r="I43" s="34">
        <v>0</v>
      </c>
      <c r="J43" s="34">
        <v>0</v>
      </c>
      <c r="K43" s="32"/>
      <c r="L43" s="37" t="str">
        <f t="shared" si="1"/>
        <v/>
      </c>
      <c r="M43" s="38"/>
      <c r="N43" s="29" t="s">
        <v>48</v>
      </c>
      <c r="O43" s="29" t="s">
        <v>48</v>
      </c>
    </row>
    <row r="44" spans="1:15" ht="21.75" customHeight="1">
      <c r="A44" s="13">
        <v>35</v>
      </c>
      <c r="B44" s="17">
        <v>2326</v>
      </c>
      <c r="C44" s="19" t="s">
        <v>207</v>
      </c>
      <c r="D44" s="25" t="s">
        <v>180</v>
      </c>
      <c r="E44" s="24" t="s">
        <v>111</v>
      </c>
      <c r="F44" s="29" t="s">
        <v>40</v>
      </c>
      <c r="G44" s="33">
        <v>0</v>
      </c>
      <c r="H44" s="34">
        <v>0</v>
      </c>
      <c r="I44" s="34">
        <v>0</v>
      </c>
      <c r="J44" s="34">
        <v>0</v>
      </c>
      <c r="K44" s="32"/>
      <c r="L44" s="37" t="str">
        <f t="shared" si="1"/>
        <v/>
      </c>
      <c r="M44" s="38"/>
      <c r="N44" s="29" t="s">
        <v>48</v>
      </c>
      <c r="O44" s="29" t="s">
        <v>48</v>
      </c>
    </row>
    <row r="45" spans="1:15" ht="21.75" customHeight="1">
      <c r="A45" s="13">
        <v>36</v>
      </c>
      <c r="B45" s="17">
        <v>1749</v>
      </c>
      <c r="C45" s="19" t="s">
        <v>213</v>
      </c>
      <c r="D45" s="21" t="s">
        <v>180</v>
      </c>
      <c r="E45" s="24" t="s">
        <v>111</v>
      </c>
      <c r="F45" s="29" t="s">
        <v>40</v>
      </c>
      <c r="G45" s="33">
        <v>0</v>
      </c>
      <c r="H45" s="34">
        <v>0</v>
      </c>
      <c r="I45" s="34">
        <v>0</v>
      </c>
      <c r="J45" s="34">
        <v>0</v>
      </c>
      <c r="K45" s="32"/>
      <c r="L45" s="37" t="str">
        <f t="shared" si="1"/>
        <v/>
      </c>
      <c r="M45" s="38"/>
      <c r="N45" s="29" t="s">
        <v>48</v>
      </c>
      <c r="O45" s="29" t="s">
        <v>48</v>
      </c>
    </row>
    <row r="46" spans="1:15" ht="21.75" customHeight="1">
      <c r="A46" s="13">
        <v>37</v>
      </c>
      <c r="B46" s="15">
        <v>1750</v>
      </c>
      <c r="C46" s="19" t="s">
        <v>216</v>
      </c>
      <c r="D46" s="21" t="s">
        <v>180</v>
      </c>
      <c r="E46" s="24" t="s">
        <v>111</v>
      </c>
      <c r="F46" s="26" t="s">
        <v>40</v>
      </c>
      <c r="G46" s="28">
        <v>0</v>
      </c>
      <c r="H46" s="31">
        <v>0</v>
      </c>
      <c r="I46" s="31">
        <v>0</v>
      </c>
      <c r="J46" s="31">
        <v>0</v>
      </c>
      <c r="K46" s="32"/>
      <c r="L46" s="37" t="str">
        <f t="shared" si="1"/>
        <v/>
      </c>
      <c r="M46" s="38"/>
      <c r="N46" s="29" t="s">
        <v>48</v>
      </c>
      <c r="O46" s="29" t="s">
        <v>48</v>
      </c>
    </row>
    <row r="47" spans="1:15" ht="21.75" customHeight="1">
      <c r="A47" s="13">
        <v>38</v>
      </c>
      <c r="B47" s="15">
        <v>2329</v>
      </c>
      <c r="C47" s="19" t="s">
        <v>220</v>
      </c>
      <c r="D47" s="21" t="s">
        <v>180</v>
      </c>
      <c r="E47" s="24" t="s">
        <v>111</v>
      </c>
      <c r="F47" s="26" t="s">
        <v>40</v>
      </c>
      <c r="G47" s="28">
        <v>0</v>
      </c>
      <c r="H47" s="31">
        <v>0</v>
      </c>
      <c r="I47" s="31">
        <v>0</v>
      </c>
      <c r="J47" s="31">
        <v>0</v>
      </c>
      <c r="K47" s="32"/>
      <c r="L47" s="37" t="str">
        <f t="shared" si="1"/>
        <v/>
      </c>
      <c r="M47" s="38"/>
      <c r="N47" s="29" t="s">
        <v>48</v>
      </c>
      <c r="O47" s="29" t="s">
        <v>48</v>
      </c>
    </row>
    <row r="48" spans="1:15" ht="21.75" customHeight="1">
      <c r="A48" s="13">
        <v>39</v>
      </c>
      <c r="B48" s="15">
        <v>2305</v>
      </c>
      <c r="C48" s="19" t="s">
        <v>222</v>
      </c>
      <c r="D48" s="21" t="s">
        <v>180</v>
      </c>
      <c r="E48" s="24" t="s">
        <v>111</v>
      </c>
      <c r="F48" s="26" t="s">
        <v>40</v>
      </c>
      <c r="G48" s="28">
        <v>0</v>
      </c>
      <c r="H48" s="31">
        <v>0</v>
      </c>
      <c r="I48" s="31">
        <v>0</v>
      </c>
      <c r="J48" s="31">
        <v>0</v>
      </c>
      <c r="K48" s="32"/>
      <c r="L48" s="37" t="str">
        <f t="shared" si="1"/>
        <v/>
      </c>
      <c r="M48" s="38"/>
      <c r="N48" s="29" t="s">
        <v>48</v>
      </c>
      <c r="O48" s="29" t="s">
        <v>48</v>
      </c>
    </row>
    <row r="49" spans="1:15" ht="21.75" customHeight="1">
      <c r="A49" s="13">
        <v>40</v>
      </c>
      <c r="B49" s="17">
        <v>2330</v>
      </c>
      <c r="C49" s="19" t="s">
        <v>225</v>
      </c>
      <c r="D49" s="21" t="s">
        <v>180</v>
      </c>
      <c r="E49" s="13" t="s">
        <v>111</v>
      </c>
      <c r="F49" s="29" t="s">
        <v>40</v>
      </c>
      <c r="G49" s="33">
        <v>0</v>
      </c>
      <c r="H49" s="34">
        <v>0</v>
      </c>
      <c r="I49" s="34">
        <v>0</v>
      </c>
      <c r="J49" s="34">
        <v>0</v>
      </c>
      <c r="K49" s="32"/>
      <c r="L49" s="37" t="str">
        <f t="shared" si="1"/>
        <v/>
      </c>
      <c r="M49" s="38"/>
      <c r="N49" s="29" t="s">
        <v>48</v>
      </c>
      <c r="O49" s="29" t="s">
        <v>48</v>
      </c>
    </row>
    <row r="50" spans="1:15" ht="21.75" customHeight="1">
      <c r="A50" s="13">
        <v>41</v>
      </c>
      <c r="B50" s="17">
        <v>2286</v>
      </c>
      <c r="C50" s="19" t="s">
        <v>229</v>
      </c>
      <c r="D50" s="25" t="s">
        <v>230</v>
      </c>
      <c r="E50" s="13" t="s">
        <v>231</v>
      </c>
      <c r="F50" s="29" t="s">
        <v>40</v>
      </c>
      <c r="G50" s="33">
        <v>0</v>
      </c>
      <c r="H50" s="34">
        <v>0</v>
      </c>
      <c r="I50" s="34">
        <v>0</v>
      </c>
      <c r="J50" s="34">
        <v>0</v>
      </c>
      <c r="K50" s="32"/>
      <c r="L50" s="37" t="str">
        <f t="shared" si="1"/>
        <v/>
      </c>
      <c r="M50" s="38"/>
      <c r="N50" s="29" t="s">
        <v>48</v>
      </c>
      <c r="O50" s="29" t="s">
        <v>48</v>
      </c>
    </row>
    <row r="51" spans="1:15" ht="21.75" customHeight="1">
      <c r="A51" s="13">
        <v>42</v>
      </c>
      <c r="B51" s="15">
        <v>2287</v>
      </c>
      <c r="C51" s="19" t="s">
        <v>229</v>
      </c>
      <c r="D51" s="21" t="s">
        <v>235</v>
      </c>
      <c r="E51" s="24" t="s">
        <v>231</v>
      </c>
      <c r="F51" s="26" t="s">
        <v>40</v>
      </c>
      <c r="G51" s="28">
        <v>0</v>
      </c>
      <c r="H51" s="31">
        <v>0</v>
      </c>
      <c r="I51" s="31">
        <v>0</v>
      </c>
      <c r="J51" s="31">
        <v>0</v>
      </c>
      <c r="K51" s="32"/>
      <c r="L51" s="37" t="str">
        <f t="shared" si="1"/>
        <v/>
      </c>
      <c r="M51" s="38"/>
      <c r="N51" s="29" t="s">
        <v>48</v>
      </c>
      <c r="O51" s="29" t="s">
        <v>48</v>
      </c>
    </row>
    <row r="52" spans="1:15" ht="21.75" customHeight="1">
      <c r="A52" s="13">
        <v>43</v>
      </c>
      <c r="B52" s="15">
        <v>1757</v>
      </c>
      <c r="C52" s="19" t="s">
        <v>239</v>
      </c>
      <c r="D52" s="21" t="s">
        <v>240</v>
      </c>
      <c r="E52" s="24" t="s">
        <v>111</v>
      </c>
      <c r="F52" s="26" t="s">
        <v>40</v>
      </c>
      <c r="G52" s="28">
        <v>0</v>
      </c>
      <c r="H52" s="31">
        <v>0</v>
      </c>
      <c r="I52" s="31">
        <v>0</v>
      </c>
      <c r="J52" s="31">
        <v>0</v>
      </c>
      <c r="K52" s="32"/>
      <c r="L52" s="37" t="str">
        <f t="shared" si="1"/>
        <v/>
      </c>
      <c r="M52" s="38"/>
      <c r="N52" s="29" t="s">
        <v>48</v>
      </c>
      <c r="O52" s="29" t="s">
        <v>48</v>
      </c>
    </row>
    <row r="53" spans="1:15" ht="21.75" customHeight="1">
      <c r="A53" s="13">
        <v>44</v>
      </c>
      <c r="B53" s="17">
        <v>1758</v>
      </c>
      <c r="C53" s="19" t="s">
        <v>243</v>
      </c>
      <c r="D53" s="25" t="s">
        <v>180</v>
      </c>
      <c r="E53" s="13" t="s">
        <v>111</v>
      </c>
      <c r="F53" s="29" t="s">
        <v>40</v>
      </c>
      <c r="G53" s="33">
        <v>0</v>
      </c>
      <c r="H53" s="34">
        <v>0</v>
      </c>
      <c r="I53" s="34">
        <v>0</v>
      </c>
      <c r="J53" s="34">
        <v>0</v>
      </c>
      <c r="K53" s="32"/>
      <c r="L53" s="37" t="str">
        <f t="shared" si="1"/>
        <v/>
      </c>
      <c r="M53" s="38"/>
      <c r="N53" s="29" t="s">
        <v>48</v>
      </c>
      <c r="O53" s="29" t="s">
        <v>48</v>
      </c>
    </row>
    <row r="54" spans="1:15" ht="21.75" customHeight="1">
      <c r="A54" s="13">
        <v>45</v>
      </c>
      <c r="B54" s="15">
        <v>1759</v>
      </c>
      <c r="C54" s="19" t="s">
        <v>247</v>
      </c>
      <c r="D54" s="21" t="s">
        <v>180</v>
      </c>
      <c r="E54" s="24" t="s">
        <v>111</v>
      </c>
      <c r="F54" s="26" t="s">
        <v>40</v>
      </c>
      <c r="G54" s="28">
        <v>0</v>
      </c>
      <c r="H54" s="31">
        <v>0</v>
      </c>
      <c r="I54" s="31">
        <v>0</v>
      </c>
      <c r="J54" s="31">
        <v>0</v>
      </c>
      <c r="K54" s="32"/>
      <c r="L54" s="37" t="str">
        <f t="shared" si="1"/>
        <v/>
      </c>
      <c r="M54" s="38"/>
      <c r="N54" s="29" t="s">
        <v>48</v>
      </c>
      <c r="O54" s="29" t="s">
        <v>48</v>
      </c>
    </row>
    <row r="55" spans="1:15" ht="21.75" customHeight="1">
      <c r="A55" s="13">
        <v>46</v>
      </c>
      <c r="B55" s="17">
        <v>1761</v>
      </c>
      <c r="C55" s="19" t="s">
        <v>251</v>
      </c>
      <c r="D55" s="25" t="s">
        <v>252</v>
      </c>
      <c r="E55" s="13" t="s">
        <v>253</v>
      </c>
      <c r="F55" s="29" t="s">
        <v>40</v>
      </c>
      <c r="G55" s="33">
        <v>0</v>
      </c>
      <c r="H55" s="34">
        <v>0</v>
      </c>
      <c r="I55" s="34">
        <v>0</v>
      </c>
      <c r="J55" s="34">
        <v>0</v>
      </c>
      <c r="K55" s="32"/>
      <c r="L55" s="37" t="str">
        <f t="shared" si="1"/>
        <v/>
      </c>
      <c r="M55" s="38"/>
      <c r="N55" s="29" t="s">
        <v>48</v>
      </c>
      <c r="O55" s="29" t="s">
        <v>48</v>
      </c>
    </row>
    <row r="56" spans="1:15" ht="21.75" customHeight="1">
      <c r="A56" s="13">
        <v>47</v>
      </c>
      <c r="B56" s="15">
        <v>2283</v>
      </c>
      <c r="C56" s="19" t="s">
        <v>256</v>
      </c>
      <c r="D56" s="21" t="s">
        <v>257</v>
      </c>
      <c r="E56" s="24" t="s">
        <v>259</v>
      </c>
      <c r="F56" s="26" t="s">
        <v>40</v>
      </c>
      <c r="G56" s="28">
        <v>0</v>
      </c>
      <c r="H56" s="31">
        <v>0</v>
      </c>
      <c r="I56" s="31">
        <v>0</v>
      </c>
      <c r="J56" s="31">
        <v>0</v>
      </c>
      <c r="K56" s="32"/>
      <c r="L56" s="37" t="str">
        <f t="shared" si="1"/>
        <v/>
      </c>
      <c r="M56" s="38"/>
      <c r="N56" s="29" t="s">
        <v>48</v>
      </c>
      <c r="O56" s="29" t="s">
        <v>48</v>
      </c>
    </row>
    <row r="57" spans="1:15" ht="21.75" customHeight="1">
      <c r="A57" s="13">
        <v>48</v>
      </c>
      <c r="B57" s="17">
        <v>2284</v>
      </c>
      <c r="C57" s="19" t="s">
        <v>256</v>
      </c>
      <c r="D57" s="25" t="s">
        <v>261</v>
      </c>
      <c r="E57" s="13" t="s">
        <v>259</v>
      </c>
      <c r="F57" s="29" t="s">
        <v>40</v>
      </c>
      <c r="G57" s="33">
        <v>0</v>
      </c>
      <c r="H57" s="34">
        <v>0</v>
      </c>
      <c r="I57" s="34">
        <v>0</v>
      </c>
      <c r="J57" s="34">
        <v>0</v>
      </c>
      <c r="K57" s="32"/>
      <c r="L57" s="37" t="str">
        <f t="shared" si="1"/>
        <v/>
      </c>
      <c r="M57" s="38"/>
      <c r="N57" s="29" t="s">
        <v>48</v>
      </c>
      <c r="O57" s="29" t="s">
        <v>48</v>
      </c>
    </row>
    <row r="58" spans="1:15" ht="21.75" customHeight="1">
      <c r="A58" s="13">
        <v>49</v>
      </c>
      <c r="B58" s="15">
        <v>2294</v>
      </c>
      <c r="C58" s="19" t="s">
        <v>267</v>
      </c>
      <c r="D58" s="21" t="s">
        <v>268</v>
      </c>
      <c r="E58" s="24" t="s">
        <v>259</v>
      </c>
      <c r="F58" s="26" t="s">
        <v>40</v>
      </c>
      <c r="G58" s="28">
        <v>0</v>
      </c>
      <c r="H58" s="31">
        <v>0</v>
      </c>
      <c r="I58" s="31">
        <v>0</v>
      </c>
      <c r="J58" s="31">
        <v>0</v>
      </c>
      <c r="K58" s="32"/>
      <c r="L58" s="37" t="str">
        <f t="shared" si="1"/>
        <v/>
      </c>
      <c r="M58" s="38"/>
      <c r="N58" s="29" t="s">
        <v>48</v>
      </c>
      <c r="O58" s="29" t="s">
        <v>48</v>
      </c>
    </row>
    <row r="59" spans="1:15" ht="21.75" customHeight="1">
      <c r="A59" s="13">
        <v>50</v>
      </c>
      <c r="B59" s="17">
        <v>1769</v>
      </c>
      <c r="C59" s="45" t="s">
        <v>169</v>
      </c>
      <c r="D59" s="25" t="s">
        <v>110</v>
      </c>
      <c r="E59" s="13" t="s">
        <v>37</v>
      </c>
      <c r="F59" s="29" t="s">
        <v>40</v>
      </c>
      <c r="G59" s="33">
        <v>0</v>
      </c>
      <c r="H59" s="34">
        <v>0</v>
      </c>
      <c r="I59" s="34">
        <v>0</v>
      </c>
      <c r="J59" s="34">
        <v>0</v>
      </c>
      <c r="K59" s="32"/>
      <c r="L59" s="37" t="str">
        <f t="shared" si="1"/>
        <v/>
      </c>
      <c r="M59" s="38"/>
      <c r="N59" s="29" t="s">
        <v>48</v>
      </c>
      <c r="O59" s="29" t="s">
        <v>48</v>
      </c>
    </row>
    <row r="60" spans="1:15" ht="21.75" customHeight="1">
      <c r="A60" s="13">
        <v>51</v>
      </c>
      <c r="B60" s="15">
        <v>1826</v>
      </c>
      <c r="C60" s="19" t="s">
        <v>276</v>
      </c>
      <c r="D60" s="21" t="s">
        <v>266</v>
      </c>
      <c r="E60" s="24" t="s">
        <v>37</v>
      </c>
      <c r="F60" s="26" t="s">
        <v>40</v>
      </c>
      <c r="G60" s="28">
        <v>0</v>
      </c>
      <c r="H60" s="31">
        <v>0</v>
      </c>
      <c r="I60" s="31">
        <v>0</v>
      </c>
      <c r="J60" s="31">
        <v>0</v>
      </c>
      <c r="K60" s="32"/>
      <c r="L60" s="37" t="str">
        <f t="shared" si="1"/>
        <v/>
      </c>
      <c r="M60" s="38"/>
      <c r="N60" s="29" t="s">
        <v>48</v>
      </c>
      <c r="O60" s="29" t="s">
        <v>48</v>
      </c>
    </row>
    <row r="61" spans="1:15" ht="21.75" customHeight="1">
      <c r="A61" s="13">
        <v>52</v>
      </c>
      <c r="B61" s="15">
        <v>1827</v>
      </c>
      <c r="C61" s="19" t="s">
        <v>280</v>
      </c>
      <c r="D61" s="21" t="s">
        <v>266</v>
      </c>
      <c r="E61" s="24" t="s">
        <v>37</v>
      </c>
      <c r="F61" s="26" t="s">
        <v>40</v>
      </c>
      <c r="G61" s="28">
        <v>0</v>
      </c>
      <c r="H61" s="31">
        <v>0</v>
      </c>
      <c r="I61" s="31">
        <v>0</v>
      </c>
      <c r="J61" s="31">
        <v>0</v>
      </c>
      <c r="K61" s="32"/>
      <c r="L61" s="37" t="str">
        <f t="shared" si="1"/>
        <v/>
      </c>
      <c r="M61" s="38"/>
      <c r="N61" s="29" t="s">
        <v>48</v>
      </c>
      <c r="O61" s="29" t="s">
        <v>48</v>
      </c>
    </row>
    <row r="62" spans="1:15" ht="21.75" customHeight="1">
      <c r="A62" s="13">
        <v>53</v>
      </c>
      <c r="B62" s="17">
        <v>2447</v>
      </c>
      <c r="C62" s="45" t="s">
        <v>283</v>
      </c>
      <c r="D62" s="25" t="s">
        <v>284</v>
      </c>
      <c r="E62" s="13" t="s">
        <v>37</v>
      </c>
      <c r="F62" s="29" t="s">
        <v>40</v>
      </c>
      <c r="G62" s="33">
        <v>0</v>
      </c>
      <c r="H62" s="34">
        <v>0</v>
      </c>
      <c r="I62" s="34">
        <v>0</v>
      </c>
      <c r="J62" s="34">
        <v>0</v>
      </c>
      <c r="K62" s="32"/>
      <c r="L62" s="37" t="str">
        <f t="shared" si="1"/>
        <v/>
      </c>
      <c r="M62" s="38"/>
      <c r="N62" s="29" t="s">
        <v>48</v>
      </c>
      <c r="O62" s="29" t="s">
        <v>48</v>
      </c>
    </row>
    <row r="63" spans="1:15" ht="21.75" customHeight="1">
      <c r="A63" s="13">
        <v>54</v>
      </c>
      <c r="B63" s="17">
        <v>1770</v>
      </c>
      <c r="C63" s="19" t="s">
        <v>273</v>
      </c>
      <c r="D63" s="21" t="s">
        <v>274</v>
      </c>
      <c r="E63" s="13" t="s">
        <v>275</v>
      </c>
      <c r="F63" s="29" t="s">
        <v>40</v>
      </c>
      <c r="G63" s="33">
        <v>0</v>
      </c>
      <c r="H63" s="34">
        <v>0</v>
      </c>
      <c r="I63" s="34">
        <v>0</v>
      </c>
      <c r="J63" s="34">
        <v>0</v>
      </c>
      <c r="K63" s="32"/>
      <c r="L63" s="37" t="str">
        <f t="shared" si="1"/>
        <v/>
      </c>
      <c r="M63" s="38"/>
      <c r="N63" s="29" t="s">
        <v>48</v>
      </c>
      <c r="O63" s="29" t="s">
        <v>48</v>
      </c>
    </row>
    <row r="64" spans="1:15" ht="21.75" customHeight="1">
      <c r="A64" s="13">
        <v>55</v>
      </c>
      <c r="B64" s="15">
        <v>1771</v>
      </c>
      <c r="C64" s="19" t="s">
        <v>291</v>
      </c>
      <c r="D64" s="21" t="s">
        <v>292</v>
      </c>
      <c r="E64" s="24" t="s">
        <v>275</v>
      </c>
      <c r="F64" s="26" t="s">
        <v>40</v>
      </c>
      <c r="G64" s="28">
        <v>0</v>
      </c>
      <c r="H64" s="31">
        <v>0</v>
      </c>
      <c r="I64" s="31">
        <v>0</v>
      </c>
      <c r="J64" s="31">
        <v>0</v>
      </c>
      <c r="K64" s="32"/>
      <c r="L64" s="37" t="str">
        <f t="shared" si="1"/>
        <v/>
      </c>
      <c r="M64" s="38"/>
      <c r="N64" s="29" t="s">
        <v>48</v>
      </c>
      <c r="O64" s="29" t="s">
        <v>48</v>
      </c>
    </row>
    <row r="65" spans="1:15" ht="21.75" customHeight="1">
      <c r="A65" s="13">
        <v>56</v>
      </c>
      <c r="B65" s="15">
        <v>1773</v>
      </c>
      <c r="C65" s="19" t="s">
        <v>296</v>
      </c>
      <c r="D65" s="21" t="s">
        <v>297</v>
      </c>
      <c r="E65" s="24" t="s">
        <v>100</v>
      </c>
      <c r="F65" s="26" t="s">
        <v>40</v>
      </c>
      <c r="G65" s="28">
        <v>0</v>
      </c>
      <c r="H65" s="31">
        <v>0</v>
      </c>
      <c r="I65" s="31">
        <v>0</v>
      </c>
      <c r="J65" s="31">
        <v>0</v>
      </c>
      <c r="K65" s="32"/>
      <c r="L65" s="37" t="str">
        <f t="shared" si="1"/>
        <v/>
      </c>
      <c r="M65" s="38"/>
      <c r="N65" s="29" t="s">
        <v>48</v>
      </c>
      <c r="O65" s="29" t="s">
        <v>48</v>
      </c>
    </row>
    <row r="66" spans="1:15" ht="21.75" customHeight="1">
      <c r="A66" s="13">
        <v>57</v>
      </c>
      <c r="B66" s="15">
        <v>1776</v>
      </c>
      <c r="C66" s="19" t="s">
        <v>301</v>
      </c>
      <c r="D66" s="21" t="s">
        <v>302</v>
      </c>
      <c r="E66" s="24" t="s">
        <v>31</v>
      </c>
      <c r="F66" s="26" t="s">
        <v>40</v>
      </c>
      <c r="G66" s="28">
        <v>0</v>
      </c>
      <c r="H66" s="31">
        <v>0</v>
      </c>
      <c r="I66" s="31">
        <v>0</v>
      </c>
      <c r="J66" s="31">
        <v>0</v>
      </c>
      <c r="K66" s="32"/>
      <c r="L66" s="37" t="str">
        <f t="shared" si="1"/>
        <v/>
      </c>
      <c r="M66" s="38"/>
      <c r="N66" s="29" t="s">
        <v>48</v>
      </c>
      <c r="O66" s="29" t="s">
        <v>48</v>
      </c>
    </row>
    <row r="67" spans="1:15" ht="21.75" customHeight="1">
      <c r="A67" s="13">
        <v>58</v>
      </c>
      <c r="B67" s="15">
        <v>2275</v>
      </c>
      <c r="C67" s="19" t="s">
        <v>305</v>
      </c>
      <c r="D67" s="21" t="s">
        <v>306</v>
      </c>
      <c r="E67" s="24" t="s">
        <v>307</v>
      </c>
      <c r="F67" s="26" t="s">
        <v>40</v>
      </c>
      <c r="G67" s="28">
        <v>0</v>
      </c>
      <c r="H67" s="31">
        <v>0</v>
      </c>
      <c r="I67" s="31">
        <v>0</v>
      </c>
      <c r="J67" s="31">
        <v>0</v>
      </c>
      <c r="K67" s="32"/>
      <c r="L67" s="37" t="str">
        <f t="shared" si="1"/>
        <v/>
      </c>
      <c r="M67" s="38"/>
      <c r="N67" s="29" t="s">
        <v>48</v>
      </c>
      <c r="O67" s="29" t="s">
        <v>48</v>
      </c>
    </row>
    <row r="68" spans="1:15" ht="21.75" customHeight="1">
      <c r="A68" s="13">
        <v>59</v>
      </c>
      <c r="B68" s="17">
        <v>2276</v>
      </c>
      <c r="C68" s="45" t="s">
        <v>305</v>
      </c>
      <c r="D68" s="25" t="s">
        <v>310</v>
      </c>
      <c r="E68" s="13" t="s">
        <v>307</v>
      </c>
      <c r="F68" s="29" t="s">
        <v>40</v>
      </c>
      <c r="G68" s="33">
        <v>0</v>
      </c>
      <c r="H68" s="34">
        <v>0</v>
      </c>
      <c r="I68" s="34">
        <v>0</v>
      </c>
      <c r="J68" s="34">
        <v>0</v>
      </c>
      <c r="K68" s="32"/>
      <c r="L68" s="37" t="str">
        <f t="shared" si="1"/>
        <v/>
      </c>
      <c r="M68" s="38"/>
      <c r="N68" s="29" t="s">
        <v>48</v>
      </c>
      <c r="O68" s="29" t="s">
        <v>48</v>
      </c>
    </row>
    <row r="69" spans="1:15" ht="21.75" customHeight="1">
      <c r="A69" s="13">
        <v>60</v>
      </c>
      <c r="B69" s="17">
        <v>2449</v>
      </c>
      <c r="C69" s="45" t="s">
        <v>305</v>
      </c>
      <c r="D69" s="25" t="s">
        <v>314</v>
      </c>
      <c r="E69" s="13" t="s">
        <v>307</v>
      </c>
      <c r="F69" s="29" t="s">
        <v>40</v>
      </c>
      <c r="G69" s="33">
        <v>0</v>
      </c>
      <c r="H69" s="34">
        <v>0</v>
      </c>
      <c r="I69" s="34">
        <v>0</v>
      </c>
      <c r="J69" s="34">
        <v>0</v>
      </c>
      <c r="K69" s="32"/>
      <c r="L69" s="37" t="str">
        <f t="shared" si="1"/>
        <v/>
      </c>
      <c r="M69" s="38"/>
      <c r="N69" s="29" t="s">
        <v>48</v>
      </c>
      <c r="O69" s="29" t="s">
        <v>48</v>
      </c>
    </row>
    <row r="70" spans="1:15" ht="21.75" customHeight="1">
      <c r="A70" s="13">
        <v>61</v>
      </c>
      <c r="B70" s="15">
        <v>2450</v>
      </c>
      <c r="C70" s="19" t="s">
        <v>305</v>
      </c>
      <c r="D70" s="21" t="s">
        <v>318</v>
      </c>
      <c r="E70" s="24" t="s">
        <v>307</v>
      </c>
      <c r="F70" s="26" t="s">
        <v>40</v>
      </c>
      <c r="G70" s="28">
        <v>0</v>
      </c>
      <c r="H70" s="31">
        <v>0</v>
      </c>
      <c r="I70" s="31">
        <v>0</v>
      </c>
      <c r="J70" s="31">
        <v>0</v>
      </c>
      <c r="K70" s="32"/>
      <c r="L70" s="37" t="str">
        <f t="shared" si="1"/>
        <v/>
      </c>
      <c r="M70" s="38"/>
      <c r="N70" s="29" t="s">
        <v>48</v>
      </c>
      <c r="O70" s="29" t="s">
        <v>48</v>
      </c>
    </row>
    <row r="71" spans="1:15" ht="21.75" customHeight="1">
      <c r="A71" s="13">
        <v>62</v>
      </c>
      <c r="B71" s="17">
        <v>1779</v>
      </c>
      <c r="C71" s="45" t="s">
        <v>322</v>
      </c>
      <c r="D71" s="25" t="s">
        <v>292</v>
      </c>
      <c r="E71" s="13" t="s">
        <v>275</v>
      </c>
      <c r="F71" s="29" t="s">
        <v>40</v>
      </c>
      <c r="G71" s="33">
        <v>0</v>
      </c>
      <c r="H71" s="34">
        <v>0</v>
      </c>
      <c r="I71" s="34">
        <v>0</v>
      </c>
      <c r="J71" s="34">
        <v>0</v>
      </c>
      <c r="K71" s="32"/>
      <c r="L71" s="37" t="str">
        <f t="shared" si="1"/>
        <v/>
      </c>
      <c r="M71" s="38"/>
      <c r="N71" s="29" t="s">
        <v>48</v>
      </c>
      <c r="O71" s="29" t="s">
        <v>48</v>
      </c>
    </row>
    <row r="72" spans="1:15" ht="21.75" customHeight="1">
      <c r="A72" s="13">
        <v>63</v>
      </c>
      <c r="B72" s="17">
        <v>2625</v>
      </c>
      <c r="C72" s="45" t="s">
        <v>326</v>
      </c>
      <c r="D72" s="25" t="s">
        <v>327</v>
      </c>
      <c r="E72" s="13" t="s">
        <v>328</v>
      </c>
      <c r="F72" s="29" t="s">
        <v>40</v>
      </c>
      <c r="G72" s="33">
        <v>0</v>
      </c>
      <c r="H72" s="34">
        <v>0</v>
      </c>
      <c r="I72" s="34">
        <v>0</v>
      </c>
      <c r="J72" s="34">
        <v>0</v>
      </c>
      <c r="K72" s="32"/>
      <c r="L72" s="37" t="str">
        <f t="shared" si="1"/>
        <v/>
      </c>
      <c r="M72" s="38"/>
      <c r="N72" s="29" t="s">
        <v>48</v>
      </c>
      <c r="O72" s="29" t="s">
        <v>48</v>
      </c>
    </row>
    <row r="73" spans="1:15" ht="21.75" customHeight="1">
      <c r="A73" s="13">
        <v>64</v>
      </c>
      <c r="B73" s="15">
        <v>2309</v>
      </c>
      <c r="C73" s="19" t="s">
        <v>332</v>
      </c>
      <c r="D73" s="21" t="s">
        <v>333</v>
      </c>
      <c r="E73" s="24" t="s">
        <v>334</v>
      </c>
      <c r="F73" s="26" t="s">
        <v>40</v>
      </c>
      <c r="G73" s="28">
        <v>0</v>
      </c>
      <c r="H73" s="31">
        <v>0</v>
      </c>
      <c r="I73" s="31">
        <v>0</v>
      </c>
      <c r="J73" s="31">
        <v>0</v>
      </c>
      <c r="K73" s="32"/>
      <c r="L73" s="37" t="str">
        <f t="shared" si="1"/>
        <v/>
      </c>
      <c r="M73" s="38"/>
      <c r="N73" s="29" t="s">
        <v>48</v>
      </c>
      <c r="O73" s="29" t="s">
        <v>48</v>
      </c>
    </row>
    <row r="74" spans="1:15" ht="21.75" customHeight="1">
      <c r="A74" s="13">
        <v>65</v>
      </c>
      <c r="B74" s="17">
        <v>1780</v>
      </c>
      <c r="C74" s="45" t="s">
        <v>332</v>
      </c>
      <c r="D74" s="25" t="s">
        <v>337</v>
      </c>
      <c r="E74" s="24" t="s">
        <v>334</v>
      </c>
      <c r="F74" s="29" t="s">
        <v>40</v>
      </c>
      <c r="G74" s="33">
        <v>0</v>
      </c>
      <c r="H74" s="34">
        <v>0</v>
      </c>
      <c r="I74" s="34">
        <v>0</v>
      </c>
      <c r="J74" s="34">
        <v>0</v>
      </c>
      <c r="K74" s="32"/>
      <c r="L74" s="37" t="str">
        <f t="shared" si="1"/>
        <v/>
      </c>
      <c r="M74" s="38"/>
      <c r="N74" s="29" t="s">
        <v>48</v>
      </c>
      <c r="O74" s="29" t="s">
        <v>48</v>
      </c>
    </row>
    <row r="75" spans="1:15" ht="21.75" customHeight="1">
      <c r="A75" s="13">
        <v>66</v>
      </c>
      <c r="B75" s="15">
        <v>1781</v>
      </c>
      <c r="C75" s="19" t="s">
        <v>341</v>
      </c>
      <c r="D75" s="21" t="s">
        <v>342</v>
      </c>
      <c r="E75" s="24" t="s">
        <v>334</v>
      </c>
      <c r="F75" s="26" t="s">
        <v>40</v>
      </c>
      <c r="G75" s="28">
        <v>0</v>
      </c>
      <c r="H75" s="31">
        <v>0</v>
      </c>
      <c r="I75" s="31">
        <v>0</v>
      </c>
      <c r="J75" s="31">
        <v>0</v>
      </c>
      <c r="K75" s="32"/>
      <c r="L75" s="37" t="str">
        <f t="shared" si="1"/>
        <v/>
      </c>
      <c r="M75" s="38"/>
      <c r="N75" s="29" t="s">
        <v>48</v>
      </c>
      <c r="O75" s="29" t="s">
        <v>48</v>
      </c>
    </row>
    <row r="76" spans="1:15" ht="21.75" customHeight="1">
      <c r="A76" s="13">
        <v>67</v>
      </c>
      <c r="B76" s="15">
        <v>1782</v>
      </c>
      <c r="C76" s="19" t="s">
        <v>345</v>
      </c>
      <c r="D76" s="21" t="s">
        <v>346</v>
      </c>
      <c r="E76" s="24" t="s">
        <v>106</v>
      </c>
      <c r="F76" s="26" t="s">
        <v>40</v>
      </c>
      <c r="G76" s="28">
        <v>0</v>
      </c>
      <c r="H76" s="31">
        <v>0</v>
      </c>
      <c r="I76" s="31">
        <v>0</v>
      </c>
      <c r="J76" s="31">
        <v>0</v>
      </c>
      <c r="K76" s="32"/>
      <c r="L76" s="37" t="str">
        <f t="shared" si="1"/>
        <v/>
      </c>
      <c r="M76" s="38"/>
      <c r="N76" s="29" t="s">
        <v>48</v>
      </c>
      <c r="O76" s="29" t="s">
        <v>48</v>
      </c>
    </row>
    <row r="77" spans="1:15" ht="21.75" customHeight="1">
      <c r="A77" s="13">
        <v>68</v>
      </c>
      <c r="B77" s="17">
        <v>1783</v>
      </c>
      <c r="C77" s="19" t="s">
        <v>349</v>
      </c>
      <c r="D77" s="21" t="s">
        <v>350</v>
      </c>
      <c r="E77" s="13" t="s">
        <v>275</v>
      </c>
      <c r="F77" s="29" t="s">
        <v>40</v>
      </c>
      <c r="G77" s="33">
        <v>0</v>
      </c>
      <c r="H77" s="34">
        <v>0</v>
      </c>
      <c r="I77" s="34">
        <v>0</v>
      </c>
      <c r="J77" s="34">
        <v>0</v>
      </c>
      <c r="K77" s="32"/>
      <c r="L77" s="37" t="str">
        <f t="shared" si="1"/>
        <v/>
      </c>
      <c r="M77" s="38"/>
      <c r="N77" s="29" t="s">
        <v>48</v>
      </c>
      <c r="O77" s="29" t="s">
        <v>48</v>
      </c>
    </row>
    <row r="78" spans="1:15" ht="21.75" customHeight="1">
      <c r="A78" s="13">
        <v>69</v>
      </c>
      <c r="B78" s="15"/>
      <c r="C78" s="19" t="s">
        <v>355</v>
      </c>
      <c r="D78" s="21" t="s">
        <v>356</v>
      </c>
      <c r="E78" s="24" t="s">
        <v>37</v>
      </c>
      <c r="F78" s="29" t="s">
        <v>40</v>
      </c>
      <c r="G78" s="33">
        <v>0</v>
      </c>
      <c r="H78" s="34">
        <v>0</v>
      </c>
      <c r="I78" s="34">
        <v>0</v>
      </c>
      <c r="J78" s="34">
        <v>0</v>
      </c>
      <c r="K78" s="32"/>
      <c r="L78" s="37" t="str">
        <f t="shared" si="1"/>
        <v/>
      </c>
      <c r="M78" s="38"/>
      <c r="N78" s="29" t="s">
        <v>48</v>
      </c>
      <c r="O78" s="29" t="s">
        <v>48</v>
      </c>
    </row>
    <row r="79" spans="1:15" ht="21.75" customHeight="1">
      <c r="A79" s="13">
        <v>70</v>
      </c>
      <c r="B79" s="15">
        <v>1785</v>
      </c>
      <c r="C79" s="19" t="s">
        <v>359</v>
      </c>
      <c r="D79" s="21" t="s">
        <v>360</v>
      </c>
      <c r="E79" s="24" t="s">
        <v>31</v>
      </c>
      <c r="F79" s="26" t="s">
        <v>40</v>
      </c>
      <c r="G79" s="28">
        <v>0</v>
      </c>
      <c r="H79" s="31">
        <v>0</v>
      </c>
      <c r="I79" s="31">
        <v>0</v>
      </c>
      <c r="J79" s="31">
        <v>0</v>
      </c>
      <c r="K79" s="32"/>
      <c r="L79" s="37" t="str">
        <f t="shared" si="1"/>
        <v/>
      </c>
      <c r="M79" s="38"/>
      <c r="N79" s="29" t="s">
        <v>48</v>
      </c>
      <c r="O79" s="29" t="s">
        <v>48</v>
      </c>
    </row>
    <row r="80" spans="1:15" ht="21.75" customHeight="1">
      <c r="A80" s="13">
        <v>71</v>
      </c>
      <c r="B80" s="15">
        <v>1786</v>
      </c>
      <c r="C80" s="19" t="s">
        <v>365</v>
      </c>
      <c r="D80" s="21" t="s">
        <v>366</v>
      </c>
      <c r="E80" s="24" t="s">
        <v>31</v>
      </c>
      <c r="F80" s="26" t="s">
        <v>40</v>
      </c>
      <c r="G80" s="28">
        <v>0</v>
      </c>
      <c r="H80" s="31">
        <v>0</v>
      </c>
      <c r="I80" s="31">
        <v>0</v>
      </c>
      <c r="J80" s="31">
        <v>0</v>
      </c>
      <c r="K80" s="32"/>
      <c r="L80" s="37" t="str">
        <f t="shared" si="1"/>
        <v/>
      </c>
      <c r="M80" s="38"/>
      <c r="N80" s="29" t="s">
        <v>48</v>
      </c>
      <c r="O80" s="29" t="s">
        <v>48</v>
      </c>
    </row>
    <row r="81" spans="1:26" ht="21.75" customHeight="1">
      <c r="A81" s="13">
        <v>72</v>
      </c>
      <c r="B81" s="17">
        <v>1787</v>
      </c>
      <c r="C81" s="45" t="s">
        <v>370</v>
      </c>
      <c r="D81" s="25" t="s">
        <v>366</v>
      </c>
      <c r="E81" s="13" t="s">
        <v>31</v>
      </c>
      <c r="F81" s="29" t="s">
        <v>40</v>
      </c>
      <c r="G81" s="33">
        <v>0</v>
      </c>
      <c r="H81" s="34">
        <v>0</v>
      </c>
      <c r="I81" s="34">
        <v>0</v>
      </c>
      <c r="J81" s="34">
        <v>0</v>
      </c>
      <c r="K81" s="32"/>
      <c r="L81" s="37" t="str">
        <f t="shared" si="1"/>
        <v/>
      </c>
      <c r="M81" s="38"/>
      <c r="N81" s="29" t="s">
        <v>48</v>
      </c>
      <c r="O81" s="29" t="s">
        <v>48</v>
      </c>
    </row>
    <row r="82" spans="1:26" ht="21.75" customHeight="1">
      <c r="A82" s="13">
        <v>73</v>
      </c>
      <c r="B82" s="15">
        <v>1850</v>
      </c>
      <c r="C82" s="19" t="s">
        <v>357</v>
      </c>
      <c r="D82" s="21" t="s">
        <v>358</v>
      </c>
      <c r="E82" s="24" t="s">
        <v>37</v>
      </c>
      <c r="F82" s="26" t="s">
        <v>40</v>
      </c>
      <c r="G82" s="28">
        <v>0</v>
      </c>
      <c r="H82" s="31">
        <v>0</v>
      </c>
      <c r="I82" s="31">
        <v>0</v>
      </c>
      <c r="J82" s="31">
        <v>0</v>
      </c>
      <c r="K82" s="32"/>
      <c r="L82" s="37" t="str">
        <f t="shared" si="1"/>
        <v/>
      </c>
      <c r="M82" s="38"/>
      <c r="N82" s="29" t="s">
        <v>48</v>
      </c>
      <c r="O82" s="29" t="s">
        <v>48</v>
      </c>
    </row>
    <row r="83" spans="1:26" ht="21.75" customHeight="1">
      <c r="A83" s="13">
        <v>74</v>
      </c>
      <c r="B83" s="17">
        <v>1851</v>
      </c>
      <c r="C83" s="45" t="s">
        <v>363</v>
      </c>
      <c r="D83" s="25" t="s">
        <v>364</v>
      </c>
      <c r="E83" s="13" t="s">
        <v>37</v>
      </c>
      <c r="F83" s="29" t="s">
        <v>40</v>
      </c>
      <c r="G83" s="33">
        <v>0</v>
      </c>
      <c r="H83" s="34">
        <v>0</v>
      </c>
      <c r="I83" s="34">
        <v>0</v>
      </c>
      <c r="J83" s="34">
        <v>0</v>
      </c>
      <c r="K83" s="32"/>
      <c r="L83" s="37" t="str">
        <f t="shared" si="1"/>
        <v/>
      </c>
      <c r="M83" s="38"/>
      <c r="N83" s="29" t="s">
        <v>48</v>
      </c>
      <c r="O83" s="29" t="s">
        <v>48</v>
      </c>
    </row>
    <row r="84" spans="1:26" ht="25.5" customHeight="1">
      <c r="A84" s="102" t="s">
        <v>378</v>
      </c>
      <c r="B84" s="103"/>
      <c r="C84" s="103"/>
      <c r="D84" s="103"/>
      <c r="E84" s="103"/>
      <c r="F84" s="104"/>
      <c r="G84" s="47">
        <f t="shared" ref="G84:M84" si="2">SUM(G10:G83)</f>
        <v>20</v>
      </c>
      <c r="H84" s="47">
        <f t="shared" si="2"/>
        <v>2</v>
      </c>
      <c r="I84" s="47">
        <f t="shared" si="2"/>
        <v>0</v>
      </c>
      <c r="J84" s="47">
        <f t="shared" si="2"/>
        <v>2</v>
      </c>
      <c r="K84" s="47">
        <f t="shared" si="2"/>
        <v>0</v>
      </c>
      <c r="L84" s="48">
        <f t="shared" si="2"/>
        <v>0</v>
      </c>
      <c r="M84" s="47">
        <f t="shared" si="2"/>
        <v>0</v>
      </c>
      <c r="N84" s="49"/>
      <c r="O84" s="49"/>
    </row>
    <row r="85" spans="1:26" ht="15.75" customHeight="1"/>
    <row r="86" spans="1:26" ht="15.75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105" t="s">
        <v>389</v>
      </c>
      <c r="L86" s="88"/>
      <c r="M86" s="88"/>
      <c r="N86" s="88"/>
      <c r="O86" s="88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spans="1:26" ht="19.5" customHeight="1">
      <c r="A87" s="98" t="s">
        <v>391</v>
      </c>
      <c r="B87" s="88"/>
      <c r="C87" s="88"/>
      <c r="D87" s="98" t="s">
        <v>392</v>
      </c>
      <c r="E87" s="88"/>
      <c r="F87" s="88"/>
      <c r="G87" s="88"/>
      <c r="H87" s="98" t="s">
        <v>393</v>
      </c>
      <c r="I87" s="88"/>
      <c r="J87" s="88"/>
      <c r="K87" s="98" t="s">
        <v>395</v>
      </c>
      <c r="L87" s="88"/>
      <c r="M87" s="88"/>
      <c r="N87" s="88"/>
      <c r="O87" s="88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spans="1:26" ht="15.75" customHeight="1">
      <c r="A88" s="99" t="s">
        <v>396</v>
      </c>
      <c r="B88" s="88"/>
      <c r="C88" s="88"/>
      <c r="D88" s="99" t="s">
        <v>396</v>
      </c>
      <c r="E88" s="88"/>
      <c r="F88" s="88"/>
      <c r="G88" s="88"/>
      <c r="H88" s="99" t="s">
        <v>396</v>
      </c>
      <c r="I88" s="88"/>
      <c r="J88" s="88"/>
      <c r="K88" s="99" t="s">
        <v>398</v>
      </c>
      <c r="L88" s="88"/>
      <c r="M88" s="88"/>
      <c r="N88" s="88"/>
      <c r="O88" s="88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spans="1:26" ht="15.75" customHeight="1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spans="1:26" ht="15.75" customHeight="1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spans="1:26" ht="15.75" customHeight="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spans="1:26" ht="15.75" customHeight="1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spans="1:26" ht="15.75" customHeight="1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spans="1:26" ht="15.75" customHeight="1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spans="1:26" ht="15.75" customHeight="1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spans="1:26" ht="15.75" customHeight="1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</sheetData>
  <mergeCells count="20">
    <mergeCell ref="A6:O6"/>
    <mergeCell ref="A8:F8"/>
    <mergeCell ref="M8:O8"/>
    <mergeCell ref="A87:C87"/>
    <mergeCell ref="A88:C88"/>
    <mergeCell ref="D88:G88"/>
    <mergeCell ref="H88:J88"/>
    <mergeCell ref="K88:O88"/>
    <mergeCell ref="G8:J8"/>
    <mergeCell ref="K8:L8"/>
    <mergeCell ref="A84:F84"/>
    <mergeCell ref="K86:O86"/>
    <mergeCell ref="D87:G87"/>
    <mergeCell ref="H87:J87"/>
    <mergeCell ref="K87:O87"/>
    <mergeCell ref="A1:F1"/>
    <mergeCell ref="L1:O1"/>
    <mergeCell ref="A2:F2"/>
    <mergeCell ref="A4:O4"/>
    <mergeCell ref="A5:O5"/>
  </mergeCells>
  <pageMargins left="0.7" right="0.7" top="0.75" bottom="0.75" header="0" footer="0"/>
  <pageSetup paperSize="9" scale="85"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27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D10" sqref="D10"/>
    </sheetView>
  </sheetViews>
  <sheetFormatPr defaultColWidth="14.453125" defaultRowHeight="15" customHeight="1"/>
  <cols>
    <col min="1" max="1" width="6" customWidth="1"/>
    <col min="2" max="2" width="8.7265625" hidden="1" customWidth="1"/>
    <col min="3" max="3" width="40" customWidth="1"/>
    <col min="4" max="4" width="41.54296875" customWidth="1"/>
    <col min="5" max="5" width="10" customWidth="1"/>
    <col min="6" max="6" width="22" hidden="1" customWidth="1"/>
    <col min="7" max="7" width="14" hidden="1" customWidth="1"/>
    <col min="8" max="10" width="13" hidden="1" customWidth="1"/>
    <col min="11" max="13" width="16" hidden="1" customWidth="1"/>
    <col min="14" max="14" width="32" hidden="1" customWidth="1"/>
    <col min="15" max="15" width="10.81640625" customWidth="1"/>
    <col min="16" max="26" width="8.7265625" customWidth="1"/>
  </cols>
  <sheetData>
    <row r="1" spans="1:15" ht="14.5">
      <c r="A1" s="87" t="s">
        <v>0</v>
      </c>
      <c r="B1" s="88"/>
      <c r="C1" s="88"/>
      <c r="D1" s="88"/>
      <c r="E1" s="88"/>
      <c r="F1" s="88"/>
      <c r="L1" s="89" t="s">
        <v>1</v>
      </c>
      <c r="M1" s="88"/>
      <c r="N1" s="88"/>
      <c r="O1" s="88"/>
    </row>
    <row r="2" spans="1:15" ht="14.5">
      <c r="A2" s="90" t="s">
        <v>2</v>
      </c>
      <c r="B2" s="88"/>
      <c r="C2" s="88"/>
      <c r="D2" s="88"/>
      <c r="E2" s="88"/>
      <c r="F2" s="88"/>
    </row>
    <row r="3" spans="1:15" ht="14.5" hidden="1"/>
    <row r="4" spans="1:15" ht="27.75" customHeight="1">
      <c r="A4" s="91" t="s">
        <v>3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</row>
    <row r="5" spans="1:15" ht="19.5" customHeight="1">
      <c r="A5" s="92" t="s">
        <v>4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</row>
    <row r="6" spans="1:15" ht="18" hidden="1" customHeight="1">
      <c r="A6" s="93" t="s">
        <v>6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</row>
    <row r="7" spans="1:15" ht="14.5" hidden="1"/>
    <row r="8" spans="1:15" ht="24" hidden="1" customHeight="1">
      <c r="A8" s="94" t="s">
        <v>8</v>
      </c>
      <c r="B8" s="95"/>
      <c r="C8" s="95"/>
      <c r="D8" s="95"/>
      <c r="E8" s="95"/>
      <c r="F8" s="96"/>
      <c r="G8" s="100" t="s">
        <v>11</v>
      </c>
      <c r="H8" s="95"/>
      <c r="I8" s="95"/>
      <c r="J8" s="96"/>
      <c r="K8" s="101" t="s">
        <v>12</v>
      </c>
      <c r="L8" s="96"/>
      <c r="M8" s="97"/>
      <c r="N8" s="95"/>
      <c r="O8" s="96"/>
    </row>
    <row r="9" spans="1:15" ht="27.75" customHeight="1">
      <c r="A9" s="2" t="s">
        <v>13</v>
      </c>
      <c r="B9" s="2" t="s">
        <v>14</v>
      </c>
      <c r="C9" s="2" t="s">
        <v>15</v>
      </c>
      <c r="D9" s="4" t="s">
        <v>16</v>
      </c>
      <c r="E9" s="2" t="s">
        <v>17</v>
      </c>
      <c r="F9" s="2" t="s">
        <v>18</v>
      </c>
      <c r="G9" s="6" t="s">
        <v>19</v>
      </c>
      <c r="H9" s="6" t="s">
        <v>20</v>
      </c>
      <c r="I9" s="6" t="s">
        <v>21</v>
      </c>
      <c r="J9" s="6" t="s">
        <v>22</v>
      </c>
      <c r="K9" s="8" t="s">
        <v>23</v>
      </c>
      <c r="L9" s="8" t="s">
        <v>24</v>
      </c>
      <c r="M9" s="10" t="s">
        <v>25</v>
      </c>
      <c r="N9" s="10" t="s">
        <v>26</v>
      </c>
      <c r="O9" s="10" t="s">
        <v>27</v>
      </c>
    </row>
    <row r="10" spans="1:15" ht="21.75" customHeight="1">
      <c r="A10" s="13">
        <v>1</v>
      </c>
      <c r="B10" s="17">
        <v>1789</v>
      </c>
      <c r="C10" s="22" t="s">
        <v>36</v>
      </c>
      <c r="D10" s="25" t="s">
        <v>39</v>
      </c>
      <c r="E10" s="13" t="s">
        <v>37</v>
      </c>
      <c r="F10" s="29" t="s">
        <v>40</v>
      </c>
      <c r="G10" s="33">
        <v>0</v>
      </c>
      <c r="H10" s="34">
        <v>0</v>
      </c>
      <c r="I10" s="34">
        <v>0</v>
      </c>
      <c r="J10" s="34">
        <v>0</v>
      </c>
      <c r="K10" s="32"/>
      <c r="L10" s="37" t="str">
        <f t="shared" ref="L10:L32" si="0">IF(ISBLANK(K10),"",K10-G10)</f>
        <v/>
      </c>
      <c r="M10" s="38"/>
      <c r="N10" s="29" t="s">
        <v>48</v>
      </c>
      <c r="O10" s="29" t="s">
        <v>48</v>
      </c>
    </row>
    <row r="11" spans="1:15" ht="21.75" customHeight="1">
      <c r="A11" s="13">
        <v>2</v>
      </c>
      <c r="B11" s="17">
        <v>1788</v>
      </c>
      <c r="C11" s="22" t="s">
        <v>49</v>
      </c>
      <c r="D11" s="25" t="s">
        <v>50</v>
      </c>
      <c r="E11" s="13" t="s">
        <v>37</v>
      </c>
      <c r="F11" s="29" t="s">
        <v>40</v>
      </c>
      <c r="G11" s="33">
        <v>0</v>
      </c>
      <c r="H11" s="34">
        <v>0</v>
      </c>
      <c r="I11" s="34">
        <v>0</v>
      </c>
      <c r="J11" s="34">
        <v>0</v>
      </c>
      <c r="K11" s="32"/>
      <c r="L11" s="37" t="str">
        <f t="shared" si="0"/>
        <v/>
      </c>
      <c r="M11" s="38"/>
      <c r="N11" s="29" t="s">
        <v>48</v>
      </c>
      <c r="O11" s="29" t="s">
        <v>48</v>
      </c>
    </row>
    <row r="12" spans="1:15" ht="21.75" customHeight="1">
      <c r="A12" s="13">
        <v>3</v>
      </c>
      <c r="B12" s="15">
        <v>1856</v>
      </c>
      <c r="C12" s="22" t="s">
        <v>54</v>
      </c>
      <c r="D12" s="21" t="s">
        <v>55</v>
      </c>
      <c r="E12" s="24" t="s">
        <v>37</v>
      </c>
      <c r="F12" s="26" t="s">
        <v>40</v>
      </c>
      <c r="G12" s="28">
        <v>0</v>
      </c>
      <c r="H12" s="31">
        <v>0</v>
      </c>
      <c r="I12" s="31">
        <v>0</v>
      </c>
      <c r="J12" s="31">
        <v>0</v>
      </c>
      <c r="K12" s="32"/>
      <c r="L12" s="37" t="str">
        <f t="shared" si="0"/>
        <v/>
      </c>
      <c r="M12" s="38"/>
      <c r="N12" s="29" t="s">
        <v>48</v>
      </c>
      <c r="O12" s="29" t="s">
        <v>48</v>
      </c>
    </row>
    <row r="13" spans="1:15" ht="21.75" customHeight="1">
      <c r="A13" s="13">
        <v>4</v>
      </c>
      <c r="B13" s="17">
        <v>1790</v>
      </c>
      <c r="C13" s="22" t="s">
        <v>60</v>
      </c>
      <c r="D13" s="25" t="s">
        <v>61</v>
      </c>
      <c r="E13" s="13" t="s">
        <v>37</v>
      </c>
      <c r="F13" s="29" t="s">
        <v>40</v>
      </c>
      <c r="G13" s="33">
        <v>0</v>
      </c>
      <c r="H13" s="34">
        <v>0</v>
      </c>
      <c r="I13" s="34">
        <v>0</v>
      </c>
      <c r="J13" s="34">
        <v>0</v>
      </c>
      <c r="K13" s="32"/>
      <c r="L13" s="37" t="str">
        <f t="shared" si="0"/>
        <v/>
      </c>
      <c r="M13" s="38"/>
      <c r="N13" s="29" t="s">
        <v>48</v>
      </c>
      <c r="O13" s="29" t="s">
        <v>48</v>
      </c>
    </row>
    <row r="14" spans="1:15" ht="21.75" customHeight="1">
      <c r="A14" s="13">
        <v>5</v>
      </c>
      <c r="B14" s="15">
        <v>1730</v>
      </c>
      <c r="C14" s="22" t="s">
        <v>67</v>
      </c>
      <c r="D14" s="21" t="s">
        <v>68</v>
      </c>
      <c r="E14" s="24" t="s">
        <v>44</v>
      </c>
      <c r="F14" s="26" t="s">
        <v>40</v>
      </c>
      <c r="G14" s="28">
        <v>0</v>
      </c>
      <c r="H14" s="31">
        <v>0</v>
      </c>
      <c r="I14" s="31">
        <v>0</v>
      </c>
      <c r="J14" s="31">
        <v>0</v>
      </c>
      <c r="K14" s="32"/>
      <c r="L14" s="37" t="str">
        <f t="shared" si="0"/>
        <v/>
      </c>
      <c r="M14" s="38"/>
      <c r="N14" s="29" t="s">
        <v>48</v>
      </c>
      <c r="O14" s="29" t="s">
        <v>48</v>
      </c>
    </row>
    <row r="15" spans="1:15" ht="21.75" customHeight="1">
      <c r="A15" s="13">
        <v>6</v>
      </c>
      <c r="B15" s="17">
        <v>1791</v>
      </c>
      <c r="C15" s="22" t="s">
        <v>73</v>
      </c>
      <c r="D15" s="25" t="s">
        <v>74</v>
      </c>
      <c r="E15" s="13" t="s">
        <v>37</v>
      </c>
      <c r="F15" s="29" t="s">
        <v>40</v>
      </c>
      <c r="G15" s="33">
        <v>0</v>
      </c>
      <c r="H15" s="34">
        <v>0</v>
      </c>
      <c r="I15" s="34">
        <v>0</v>
      </c>
      <c r="J15" s="34">
        <v>0</v>
      </c>
      <c r="K15" s="32"/>
      <c r="L15" s="37" t="str">
        <f t="shared" si="0"/>
        <v/>
      </c>
      <c r="M15" s="38"/>
      <c r="N15" s="29" t="s">
        <v>48</v>
      </c>
      <c r="O15" s="29" t="s">
        <v>48</v>
      </c>
    </row>
    <row r="16" spans="1:15" ht="21.75" customHeight="1">
      <c r="A16" s="13">
        <v>7</v>
      </c>
      <c r="B16" s="15">
        <v>1792</v>
      </c>
      <c r="C16" s="22" t="s">
        <v>83</v>
      </c>
      <c r="D16" s="25" t="s">
        <v>84</v>
      </c>
      <c r="E16" s="24" t="s">
        <v>37</v>
      </c>
      <c r="F16" s="26" t="s">
        <v>40</v>
      </c>
      <c r="G16" s="28">
        <v>0</v>
      </c>
      <c r="H16" s="31">
        <v>0</v>
      </c>
      <c r="I16" s="31">
        <v>0</v>
      </c>
      <c r="J16" s="31">
        <v>0</v>
      </c>
      <c r="K16" s="32"/>
      <c r="L16" s="37" t="str">
        <f t="shared" si="0"/>
        <v/>
      </c>
      <c r="M16" s="38"/>
      <c r="N16" s="29" t="s">
        <v>48</v>
      </c>
      <c r="O16" s="29" t="s">
        <v>48</v>
      </c>
    </row>
    <row r="17" spans="1:15" ht="21.75" customHeight="1">
      <c r="A17" s="13">
        <v>8</v>
      </c>
      <c r="B17" s="17">
        <v>1793</v>
      </c>
      <c r="C17" s="22" t="s">
        <v>89</v>
      </c>
      <c r="D17" s="25" t="s">
        <v>90</v>
      </c>
      <c r="E17" s="13" t="s">
        <v>37</v>
      </c>
      <c r="F17" s="29" t="s">
        <v>40</v>
      </c>
      <c r="G17" s="33">
        <v>0</v>
      </c>
      <c r="H17" s="34">
        <v>0</v>
      </c>
      <c r="I17" s="34">
        <v>0</v>
      </c>
      <c r="J17" s="34">
        <v>0</v>
      </c>
      <c r="K17" s="32"/>
      <c r="L17" s="37" t="str">
        <f t="shared" si="0"/>
        <v/>
      </c>
      <c r="M17" s="38"/>
      <c r="N17" s="29" t="s">
        <v>48</v>
      </c>
      <c r="O17" s="29" t="s">
        <v>48</v>
      </c>
    </row>
    <row r="18" spans="1:15" ht="21.75" customHeight="1">
      <c r="A18" s="13">
        <v>9</v>
      </c>
      <c r="B18" s="15">
        <v>1794</v>
      </c>
      <c r="C18" s="22" t="s">
        <v>89</v>
      </c>
      <c r="D18" s="21" t="s">
        <v>95</v>
      </c>
      <c r="E18" s="24" t="s">
        <v>37</v>
      </c>
      <c r="F18" s="26" t="s">
        <v>40</v>
      </c>
      <c r="G18" s="28">
        <v>0</v>
      </c>
      <c r="H18" s="31">
        <v>0</v>
      </c>
      <c r="I18" s="31">
        <v>0</v>
      </c>
      <c r="J18" s="31">
        <v>0</v>
      </c>
      <c r="K18" s="32"/>
      <c r="L18" s="37" t="str">
        <f t="shared" si="0"/>
        <v/>
      </c>
      <c r="M18" s="38"/>
      <c r="N18" s="29" t="s">
        <v>48</v>
      </c>
      <c r="O18" s="29" t="s">
        <v>48</v>
      </c>
    </row>
    <row r="19" spans="1:15" ht="21.75" customHeight="1">
      <c r="A19" s="13">
        <v>10</v>
      </c>
      <c r="B19" s="15">
        <v>1795</v>
      </c>
      <c r="C19" s="22" t="s">
        <v>101</v>
      </c>
      <c r="D19" s="21" t="s">
        <v>103</v>
      </c>
      <c r="E19" s="24" t="s">
        <v>37</v>
      </c>
      <c r="F19" s="26" t="s">
        <v>40</v>
      </c>
      <c r="G19" s="28">
        <v>0</v>
      </c>
      <c r="H19" s="31">
        <v>0</v>
      </c>
      <c r="I19" s="31">
        <v>0</v>
      </c>
      <c r="J19" s="31">
        <v>0</v>
      </c>
      <c r="K19" s="32"/>
      <c r="L19" s="37" t="str">
        <f t="shared" si="0"/>
        <v/>
      </c>
      <c r="M19" s="38"/>
      <c r="N19" s="29" t="s">
        <v>48</v>
      </c>
      <c r="O19" s="29" t="s">
        <v>48</v>
      </c>
    </row>
    <row r="20" spans="1:15" ht="21.75" customHeight="1">
      <c r="A20" s="13">
        <v>11</v>
      </c>
      <c r="B20" s="17">
        <v>1796</v>
      </c>
      <c r="C20" s="22" t="s">
        <v>112</v>
      </c>
      <c r="D20" s="25" t="s">
        <v>81</v>
      </c>
      <c r="E20" s="13" t="s">
        <v>37</v>
      </c>
      <c r="F20" s="29" t="s">
        <v>40</v>
      </c>
      <c r="G20" s="33">
        <v>0</v>
      </c>
      <c r="H20" s="34">
        <v>0</v>
      </c>
      <c r="I20" s="34">
        <v>0</v>
      </c>
      <c r="J20" s="34">
        <v>0</v>
      </c>
      <c r="K20" s="32"/>
      <c r="L20" s="37" t="str">
        <f t="shared" si="0"/>
        <v/>
      </c>
      <c r="M20" s="38"/>
      <c r="N20" s="29" t="s">
        <v>48</v>
      </c>
      <c r="O20" s="29" t="s">
        <v>48</v>
      </c>
    </row>
    <row r="21" spans="1:15" ht="21.75" customHeight="1">
      <c r="A21" s="13">
        <v>12</v>
      </c>
      <c r="B21" s="15">
        <v>1797</v>
      </c>
      <c r="C21" s="22" t="s">
        <v>117</v>
      </c>
      <c r="D21" s="25" t="s">
        <v>118</v>
      </c>
      <c r="E21" s="24" t="s">
        <v>37</v>
      </c>
      <c r="F21" s="26" t="s">
        <v>40</v>
      </c>
      <c r="G21" s="28">
        <v>0</v>
      </c>
      <c r="H21" s="31">
        <v>0</v>
      </c>
      <c r="I21" s="31">
        <v>0</v>
      </c>
      <c r="J21" s="31">
        <v>0</v>
      </c>
      <c r="K21" s="32"/>
      <c r="L21" s="37" t="str">
        <f t="shared" si="0"/>
        <v/>
      </c>
      <c r="M21" s="38"/>
      <c r="N21" s="29" t="s">
        <v>48</v>
      </c>
      <c r="O21" s="29" t="s">
        <v>48</v>
      </c>
    </row>
    <row r="22" spans="1:15" ht="21.75" customHeight="1">
      <c r="A22" s="13">
        <v>13</v>
      </c>
      <c r="B22" s="17">
        <v>1855</v>
      </c>
      <c r="C22" s="22" t="s">
        <v>122</v>
      </c>
      <c r="D22" s="25" t="s">
        <v>124</v>
      </c>
      <c r="E22" s="13" t="s">
        <v>37</v>
      </c>
      <c r="F22" s="29" t="s">
        <v>40</v>
      </c>
      <c r="G22" s="33">
        <v>0</v>
      </c>
      <c r="H22" s="34">
        <v>0</v>
      </c>
      <c r="I22" s="34">
        <v>0</v>
      </c>
      <c r="J22" s="34">
        <v>0</v>
      </c>
      <c r="K22" s="32"/>
      <c r="L22" s="37" t="str">
        <f t="shared" si="0"/>
        <v/>
      </c>
      <c r="M22" s="38"/>
      <c r="N22" s="29" t="s">
        <v>48</v>
      </c>
      <c r="O22" s="29" t="s">
        <v>48</v>
      </c>
    </row>
    <row r="23" spans="1:15" ht="21.75" customHeight="1">
      <c r="A23" s="13">
        <v>14</v>
      </c>
      <c r="B23" s="15">
        <v>1802</v>
      </c>
      <c r="C23" s="22" t="s">
        <v>128</v>
      </c>
      <c r="D23" s="21" t="s">
        <v>130</v>
      </c>
      <c r="E23" s="24" t="s">
        <v>37</v>
      </c>
      <c r="F23" s="26" t="s">
        <v>40</v>
      </c>
      <c r="G23" s="28">
        <v>0</v>
      </c>
      <c r="H23" s="31">
        <v>0</v>
      </c>
      <c r="I23" s="31">
        <v>0</v>
      </c>
      <c r="J23" s="31">
        <v>0</v>
      </c>
      <c r="K23" s="32"/>
      <c r="L23" s="37" t="str">
        <f t="shared" si="0"/>
        <v/>
      </c>
      <c r="M23" s="38"/>
      <c r="N23" s="29" t="s">
        <v>48</v>
      </c>
      <c r="O23" s="29" t="s">
        <v>48</v>
      </c>
    </row>
    <row r="24" spans="1:15" ht="21.75" customHeight="1">
      <c r="A24" s="13">
        <v>15</v>
      </c>
      <c r="B24" s="17">
        <v>1803</v>
      </c>
      <c r="C24" s="22" t="s">
        <v>137</v>
      </c>
      <c r="D24" s="25" t="s">
        <v>138</v>
      </c>
      <c r="E24" s="13" t="s">
        <v>37</v>
      </c>
      <c r="F24" s="29" t="s">
        <v>40</v>
      </c>
      <c r="G24" s="33">
        <v>0</v>
      </c>
      <c r="H24" s="34">
        <v>0</v>
      </c>
      <c r="I24" s="34">
        <v>0</v>
      </c>
      <c r="J24" s="34">
        <v>0</v>
      </c>
      <c r="K24" s="32"/>
      <c r="L24" s="37" t="str">
        <f t="shared" si="0"/>
        <v/>
      </c>
      <c r="M24" s="38"/>
      <c r="N24" s="29" t="s">
        <v>48</v>
      </c>
      <c r="O24" s="29" t="s">
        <v>48</v>
      </c>
    </row>
    <row r="25" spans="1:15" ht="21.75" customHeight="1">
      <c r="A25" s="13">
        <v>16</v>
      </c>
      <c r="B25" s="15">
        <v>1804</v>
      </c>
      <c r="C25" s="22" t="s">
        <v>141</v>
      </c>
      <c r="D25" s="21" t="s">
        <v>142</v>
      </c>
      <c r="E25" s="24" t="s">
        <v>37</v>
      </c>
      <c r="F25" s="26" t="s">
        <v>40</v>
      </c>
      <c r="G25" s="28">
        <v>0</v>
      </c>
      <c r="H25" s="31">
        <v>0</v>
      </c>
      <c r="I25" s="31">
        <v>0</v>
      </c>
      <c r="J25" s="31">
        <v>0</v>
      </c>
      <c r="K25" s="32"/>
      <c r="L25" s="37" t="str">
        <f t="shared" si="0"/>
        <v/>
      </c>
      <c r="M25" s="38"/>
      <c r="N25" s="29" t="s">
        <v>48</v>
      </c>
      <c r="O25" s="29" t="s">
        <v>48</v>
      </c>
    </row>
    <row r="26" spans="1:15" ht="21.75" customHeight="1">
      <c r="A26" s="13">
        <v>17</v>
      </c>
      <c r="B26" s="17">
        <v>1805</v>
      </c>
      <c r="C26" s="22" t="s">
        <v>145</v>
      </c>
      <c r="D26" s="25" t="s">
        <v>146</v>
      </c>
      <c r="E26" s="13" t="s">
        <v>37</v>
      </c>
      <c r="F26" s="29" t="s">
        <v>40</v>
      </c>
      <c r="G26" s="33">
        <v>0</v>
      </c>
      <c r="H26" s="34">
        <v>0</v>
      </c>
      <c r="I26" s="34">
        <v>0</v>
      </c>
      <c r="J26" s="34">
        <v>0</v>
      </c>
      <c r="K26" s="32"/>
      <c r="L26" s="37" t="str">
        <f t="shared" si="0"/>
        <v/>
      </c>
      <c r="M26" s="38"/>
      <c r="N26" s="29" t="s">
        <v>48</v>
      </c>
      <c r="O26" s="29" t="s">
        <v>48</v>
      </c>
    </row>
    <row r="27" spans="1:15" ht="21.75" customHeight="1">
      <c r="A27" s="13">
        <v>18</v>
      </c>
      <c r="B27" s="15">
        <v>1806</v>
      </c>
      <c r="C27" s="22" t="s">
        <v>148</v>
      </c>
      <c r="D27" s="21" t="s">
        <v>146</v>
      </c>
      <c r="E27" s="24" t="s">
        <v>37</v>
      </c>
      <c r="F27" s="26" t="s">
        <v>40</v>
      </c>
      <c r="G27" s="28">
        <v>0</v>
      </c>
      <c r="H27" s="31">
        <v>0</v>
      </c>
      <c r="I27" s="31">
        <v>0</v>
      </c>
      <c r="J27" s="31">
        <v>0</v>
      </c>
      <c r="K27" s="32"/>
      <c r="L27" s="37" t="str">
        <f t="shared" si="0"/>
        <v/>
      </c>
      <c r="M27" s="38"/>
      <c r="N27" s="29" t="s">
        <v>48</v>
      </c>
      <c r="O27" s="29" t="s">
        <v>48</v>
      </c>
    </row>
    <row r="28" spans="1:15" ht="21.75" customHeight="1">
      <c r="A28" s="13">
        <v>19</v>
      </c>
      <c r="B28" s="17">
        <v>1807</v>
      </c>
      <c r="C28" s="22" t="s">
        <v>154</v>
      </c>
      <c r="D28" s="25" t="s">
        <v>155</v>
      </c>
      <c r="E28" s="13" t="s">
        <v>37</v>
      </c>
      <c r="F28" s="29" t="s">
        <v>40</v>
      </c>
      <c r="G28" s="33">
        <v>0</v>
      </c>
      <c r="H28" s="34">
        <v>0</v>
      </c>
      <c r="I28" s="34">
        <v>0</v>
      </c>
      <c r="J28" s="34">
        <v>0</v>
      </c>
      <c r="K28" s="32"/>
      <c r="L28" s="37" t="str">
        <f t="shared" si="0"/>
        <v/>
      </c>
      <c r="M28" s="38"/>
      <c r="N28" s="29" t="s">
        <v>48</v>
      </c>
      <c r="O28" s="29" t="s">
        <v>48</v>
      </c>
    </row>
    <row r="29" spans="1:15" ht="21.75" customHeight="1">
      <c r="A29" s="13">
        <v>20</v>
      </c>
      <c r="B29" s="15">
        <v>1859</v>
      </c>
      <c r="C29" s="22" t="s">
        <v>159</v>
      </c>
      <c r="D29" s="25" t="s">
        <v>161</v>
      </c>
      <c r="E29" s="24" t="s">
        <v>37</v>
      </c>
      <c r="F29" s="26" t="s">
        <v>40</v>
      </c>
      <c r="G29" s="28">
        <v>0</v>
      </c>
      <c r="H29" s="31">
        <v>0</v>
      </c>
      <c r="I29" s="31">
        <v>0</v>
      </c>
      <c r="J29" s="31">
        <v>0</v>
      </c>
      <c r="K29" s="32"/>
      <c r="L29" s="37" t="str">
        <f t="shared" si="0"/>
        <v/>
      </c>
      <c r="M29" s="38"/>
      <c r="N29" s="29" t="s">
        <v>48</v>
      </c>
      <c r="O29" s="29" t="s">
        <v>48</v>
      </c>
    </row>
    <row r="30" spans="1:15" ht="21.75" customHeight="1">
      <c r="A30" s="13">
        <v>21</v>
      </c>
      <c r="B30" s="15">
        <v>1808</v>
      </c>
      <c r="C30" s="22" t="s">
        <v>164</v>
      </c>
      <c r="D30" s="21" t="s">
        <v>166</v>
      </c>
      <c r="E30" s="24" t="s">
        <v>37</v>
      </c>
      <c r="F30" s="26" t="s">
        <v>40</v>
      </c>
      <c r="G30" s="28">
        <v>0</v>
      </c>
      <c r="H30" s="31">
        <v>0</v>
      </c>
      <c r="I30" s="31">
        <v>0</v>
      </c>
      <c r="J30" s="31">
        <v>0</v>
      </c>
      <c r="K30" s="32"/>
      <c r="L30" s="37" t="str">
        <f t="shared" si="0"/>
        <v/>
      </c>
      <c r="M30" s="38"/>
      <c r="N30" s="29" t="s">
        <v>48</v>
      </c>
      <c r="O30" s="29" t="s">
        <v>48</v>
      </c>
    </row>
    <row r="31" spans="1:15" ht="21.75" customHeight="1">
      <c r="A31" s="13">
        <v>22</v>
      </c>
      <c r="B31" s="15">
        <v>2304</v>
      </c>
      <c r="C31" s="22" t="s">
        <v>170</v>
      </c>
      <c r="D31" s="21" t="s">
        <v>171</v>
      </c>
      <c r="E31" s="24" t="s">
        <v>37</v>
      </c>
      <c r="F31" s="26" t="s">
        <v>40</v>
      </c>
      <c r="G31" s="28">
        <v>0</v>
      </c>
      <c r="H31" s="31">
        <v>0</v>
      </c>
      <c r="I31" s="31">
        <v>0</v>
      </c>
      <c r="J31" s="31">
        <v>0</v>
      </c>
      <c r="K31" s="32"/>
      <c r="L31" s="37" t="str">
        <f t="shared" si="0"/>
        <v/>
      </c>
      <c r="M31" s="38"/>
      <c r="N31" s="29" t="s">
        <v>48</v>
      </c>
      <c r="O31" s="29" t="s">
        <v>48</v>
      </c>
    </row>
    <row r="32" spans="1:15" ht="21.75" customHeight="1">
      <c r="A32" s="13">
        <v>23</v>
      </c>
      <c r="B32" s="15">
        <v>2288</v>
      </c>
      <c r="C32" s="22" t="s">
        <v>176</v>
      </c>
      <c r="D32" s="21" t="s">
        <v>178</v>
      </c>
      <c r="E32" s="24" t="s">
        <v>37</v>
      </c>
      <c r="F32" s="26" t="s">
        <v>40</v>
      </c>
      <c r="G32" s="28">
        <v>0</v>
      </c>
      <c r="H32" s="31">
        <v>0</v>
      </c>
      <c r="I32" s="31">
        <v>0</v>
      </c>
      <c r="J32" s="31">
        <v>0</v>
      </c>
      <c r="K32" s="32"/>
      <c r="L32" s="37" t="str">
        <f t="shared" si="0"/>
        <v/>
      </c>
      <c r="M32" s="38"/>
      <c r="N32" s="29" t="s">
        <v>48</v>
      </c>
      <c r="O32" s="29" t="s">
        <v>48</v>
      </c>
    </row>
    <row r="33" spans="1:16" ht="21.75" customHeight="1">
      <c r="A33" s="13">
        <v>24</v>
      </c>
      <c r="B33" s="17"/>
      <c r="C33" s="22" t="s">
        <v>182</v>
      </c>
      <c r="D33" s="21" t="s">
        <v>184</v>
      </c>
      <c r="E33" s="24" t="s">
        <v>37</v>
      </c>
      <c r="F33" s="29"/>
      <c r="G33" s="33"/>
      <c r="H33" s="34"/>
      <c r="I33" s="34"/>
      <c r="J33" s="34"/>
      <c r="K33" s="32"/>
      <c r="L33" s="37"/>
      <c r="M33" s="38"/>
      <c r="N33" s="29"/>
      <c r="O33" s="29"/>
      <c r="P33" s="46">
        <v>1</v>
      </c>
    </row>
    <row r="34" spans="1:16" ht="21.75" customHeight="1">
      <c r="A34" s="13">
        <v>25</v>
      </c>
      <c r="B34" s="15"/>
      <c r="C34" s="22" t="s">
        <v>186</v>
      </c>
      <c r="D34" s="21" t="s">
        <v>187</v>
      </c>
      <c r="E34" s="24" t="s">
        <v>37</v>
      </c>
      <c r="F34" s="26"/>
      <c r="G34" s="28"/>
      <c r="H34" s="31"/>
      <c r="I34" s="31"/>
      <c r="J34" s="31"/>
      <c r="K34" s="32"/>
      <c r="L34" s="37"/>
      <c r="M34" s="38"/>
      <c r="N34" s="29"/>
      <c r="O34" s="29"/>
      <c r="P34" s="46">
        <v>2</v>
      </c>
    </row>
    <row r="35" spans="1:16" ht="21.75" customHeight="1">
      <c r="A35" s="13">
        <v>26</v>
      </c>
      <c r="B35" s="15"/>
      <c r="C35" s="22" t="s">
        <v>128</v>
      </c>
      <c r="D35" s="21" t="s">
        <v>194</v>
      </c>
      <c r="E35" s="24" t="s">
        <v>37</v>
      </c>
      <c r="F35" s="26"/>
      <c r="G35" s="28"/>
      <c r="H35" s="31"/>
      <c r="I35" s="31"/>
      <c r="J35" s="31"/>
      <c r="K35" s="32"/>
      <c r="L35" s="37"/>
      <c r="M35" s="38"/>
      <c r="N35" s="29"/>
      <c r="O35" s="29"/>
      <c r="P35" s="46">
        <v>3</v>
      </c>
    </row>
    <row r="36" spans="1:16" ht="21.75" customHeight="1">
      <c r="A36" s="13">
        <v>27</v>
      </c>
      <c r="B36" s="15"/>
      <c r="C36" s="22" t="s">
        <v>191</v>
      </c>
      <c r="D36" s="21" t="s">
        <v>192</v>
      </c>
      <c r="E36" s="24" t="s">
        <v>37</v>
      </c>
      <c r="F36" s="26"/>
      <c r="G36" s="28"/>
      <c r="H36" s="31"/>
      <c r="I36" s="31"/>
      <c r="J36" s="31"/>
      <c r="K36" s="32"/>
      <c r="L36" s="37"/>
      <c r="M36" s="38"/>
      <c r="N36" s="29"/>
      <c r="O36" s="29"/>
      <c r="P36" s="46">
        <v>4</v>
      </c>
    </row>
    <row r="37" spans="1:16" ht="21.75" customHeight="1">
      <c r="A37" s="13">
        <v>28</v>
      </c>
      <c r="B37" s="15">
        <v>1861</v>
      </c>
      <c r="C37" s="22" t="s">
        <v>198</v>
      </c>
      <c r="D37" s="21" t="s">
        <v>199</v>
      </c>
      <c r="E37" s="24" t="s">
        <v>37</v>
      </c>
      <c r="F37" s="26" t="s">
        <v>40</v>
      </c>
      <c r="G37" s="28">
        <v>0</v>
      </c>
      <c r="H37" s="31">
        <v>0</v>
      </c>
      <c r="I37" s="31">
        <v>0</v>
      </c>
      <c r="J37" s="31">
        <v>0</v>
      </c>
      <c r="K37" s="32"/>
      <c r="L37" s="37" t="str">
        <f t="shared" ref="L37:L79" si="1">IF(ISBLANK(K37),"",K37-G37)</f>
        <v/>
      </c>
      <c r="M37" s="38"/>
      <c r="N37" s="29" t="s">
        <v>48</v>
      </c>
      <c r="O37" s="29" t="s">
        <v>48</v>
      </c>
    </row>
    <row r="38" spans="1:16" ht="21.75" customHeight="1">
      <c r="A38" s="13">
        <v>29</v>
      </c>
      <c r="B38" s="17">
        <v>1809</v>
      </c>
      <c r="C38" s="22" t="s">
        <v>204</v>
      </c>
      <c r="D38" s="25" t="s">
        <v>205</v>
      </c>
      <c r="E38" s="13" t="s">
        <v>37</v>
      </c>
      <c r="F38" s="29" t="s">
        <v>40</v>
      </c>
      <c r="G38" s="33">
        <v>0</v>
      </c>
      <c r="H38" s="34">
        <v>0</v>
      </c>
      <c r="I38" s="34">
        <v>0</v>
      </c>
      <c r="J38" s="34">
        <v>0</v>
      </c>
      <c r="K38" s="32"/>
      <c r="L38" s="37" t="str">
        <f t="shared" si="1"/>
        <v/>
      </c>
      <c r="M38" s="38"/>
      <c r="N38" s="29" t="s">
        <v>48</v>
      </c>
      <c r="O38" s="29" t="s">
        <v>48</v>
      </c>
    </row>
    <row r="39" spans="1:16" ht="21.75" customHeight="1">
      <c r="A39" s="13">
        <v>30</v>
      </c>
      <c r="B39" s="17">
        <v>1810</v>
      </c>
      <c r="C39" s="22" t="s">
        <v>208</v>
      </c>
      <c r="D39" s="25" t="s">
        <v>209</v>
      </c>
      <c r="E39" s="13" t="s">
        <v>37</v>
      </c>
      <c r="F39" s="29" t="s">
        <v>40</v>
      </c>
      <c r="G39" s="33">
        <v>0</v>
      </c>
      <c r="H39" s="34">
        <v>0</v>
      </c>
      <c r="I39" s="34">
        <v>0</v>
      </c>
      <c r="J39" s="34">
        <v>0</v>
      </c>
      <c r="K39" s="32"/>
      <c r="L39" s="37" t="str">
        <f t="shared" si="1"/>
        <v/>
      </c>
      <c r="M39" s="38"/>
      <c r="N39" s="29" t="s">
        <v>48</v>
      </c>
      <c r="O39" s="29" t="s">
        <v>48</v>
      </c>
    </row>
    <row r="40" spans="1:16" ht="21.75" customHeight="1">
      <c r="A40" s="13">
        <v>31</v>
      </c>
      <c r="B40" s="17">
        <v>1811</v>
      </c>
      <c r="C40" s="22" t="s">
        <v>211</v>
      </c>
      <c r="D40" s="25" t="s">
        <v>212</v>
      </c>
      <c r="E40" s="13" t="s">
        <v>37</v>
      </c>
      <c r="F40" s="29" t="s">
        <v>40</v>
      </c>
      <c r="G40" s="33">
        <v>0</v>
      </c>
      <c r="H40" s="34">
        <v>0</v>
      </c>
      <c r="I40" s="34">
        <v>0</v>
      </c>
      <c r="J40" s="34">
        <v>0</v>
      </c>
      <c r="K40" s="32"/>
      <c r="L40" s="37" t="str">
        <f t="shared" si="1"/>
        <v/>
      </c>
      <c r="M40" s="38"/>
      <c r="N40" s="29" t="s">
        <v>48</v>
      </c>
      <c r="O40" s="29" t="s">
        <v>48</v>
      </c>
    </row>
    <row r="41" spans="1:16" ht="21.75" customHeight="1">
      <c r="A41" s="13">
        <v>32</v>
      </c>
      <c r="B41" s="15">
        <v>1812</v>
      </c>
      <c r="C41" s="22" t="s">
        <v>215</v>
      </c>
      <c r="D41" s="21" t="s">
        <v>155</v>
      </c>
      <c r="E41" s="13" t="s">
        <v>37</v>
      </c>
      <c r="F41" s="26" t="s">
        <v>40</v>
      </c>
      <c r="G41" s="28">
        <v>0</v>
      </c>
      <c r="H41" s="31">
        <v>0</v>
      </c>
      <c r="I41" s="31">
        <v>0</v>
      </c>
      <c r="J41" s="31">
        <v>0</v>
      </c>
      <c r="K41" s="32"/>
      <c r="L41" s="37" t="str">
        <f t="shared" si="1"/>
        <v/>
      </c>
      <c r="M41" s="38"/>
      <c r="N41" s="29" t="s">
        <v>48</v>
      </c>
      <c r="O41" s="29" t="s">
        <v>48</v>
      </c>
    </row>
    <row r="42" spans="1:16" ht="21.75" customHeight="1">
      <c r="A42" s="13">
        <v>33</v>
      </c>
      <c r="B42" s="15">
        <v>1813</v>
      </c>
      <c r="C42" s="22" t="s">
        <v>218</v>
      </c>
      <c r="D42" s="21" t="s">
        <v>219</v>
      </c>
      <c r="E42" s="24" t="s">
        <v>37</v>
      </c>
      <c r="F42" s="26" t="s">
        <v>40</v>
      </c>
      <c r="G42" s="28">
        <v>0</v>
      </c>
      <c r="H42" s="31">
        <v>0</v>
      </c>
      <c r="I42" s="31">
        <v>0</v>
      </c>
      <c r="J42" s="31">
        <v>0</v>
      </c>
      <c r="K42" s="32"/>
      <c r="L42" s="37" t="str">
        <f t="shared" si="1"/>
        <v/>
      </c>
      <c r="M42" s="38"/>
      <c r="N42" s="29" t="s">
        <v>48</v>
      </c>
      <c r="O42" s="29" t="s">
        <v>48</v>
      </c>
    </row>
    <row r="43" spans="1:16" ht="21.75" customHeight="1">
      <c r="A43" s="13">
        <v>34</v>
      </c>
      <c r="B43" s="17">
        <v>1814</v>
      </c>
      <c r="C43" s="22" t="s">
        <v>218</v>
      </c>
      <c r="D43" s="25" t="s">
        <v>224</v>
      </c>
      <c r="E43" s="13" t="s">
        <v>37</v>
      </c>
      <c r="F43" s="29" t="s">
        <v>40</v>
      </c>
      <c r="G43" s="33">
        <v>0</v>
      </c>
      <c r="H43" s="34">
        <v>0</v>
      </c>
      <c r="I43" s="34">
        <v>0</v>
      </c>
      <c r="J43" s="34">
        <v>0</v>
      </c>
      <c r="K43" s="32"/>
      <c r="L43" s="37" t="str">
        <f t="shared" si="1"/>
        <v/>
      </c>
      <c r="M43" s="38"/>
      <c r="N43" s="29" t="s">
        <v>48</v>
      </c>
      <c r="O43" s="29" t="s">
        <v>48</v>
      </c>
    </row>
    <row r="44" spans="1:16" ht="21.75" customHeight="1">
      <c r="A44" s="13">
        <v>35</v>
      </c>
      <c r="B44" s="15">
        <v>1815</v>
      </c>
      <c r="C44" s="22" t="s">
        <v>218</v>
      </c>
      <c r="D44" s="21" t="s">
        <v>228</v>
      </c>
      <c r="E44" s="24" t="s">
        <v>37</v>
      </c>
      <c r="F44" s="26" t="s">
        <v>40</v>
      </c>
      <c r="G44" s="28">
        <v>0</v>
      </c>
      <c r="H44" s="31">
        <v>0</v>
      </c>
      <c r="I44" s="31">
        <v>0</v>
      </c>
      <c r="J44" s="31">
        <v>0</v>
      </c>
      <c r="K44" s="32"/>
      <c r="L44" s="37" t="str">
        <f t="shared" si="1"/>
        <v/>
      </c>
      <c r="M44" s="38"/>
      <c r="N44" s="29" t="s">
        <v>48</v>
      </c>
      <c r="O44" s="29" t="s">
        <v>48</v>
      </c>
    </row>
    <row r="45" spans="1:16" ht="21.75" customHeight="1">
      <c r="A45" s="13">
        <v>36</v>
      </c>
      <c r="B45" s="17">
        <v>1816</v>
      </c>
      <c r="C45" s="22" t="s">
        <v>233</v>
      </c>
      <c r="D45" s="25" t="s">
        <v>234</v>
      </c>
      <c r="E45" s="13" t="s">
        <v>37</v>
      </c>
      <c r="F45" s="29" t="s">
        <v>40</v>
      </c>
      <c r="G45" s="33">
        <v>0</v>
      </c>
      <c r="H45" s="34">
        <v>0</v>
      </c>
      <c r="I45" s="34">
        <v>0</v>
      </c>
      <c r="J45" s="34">
        <v>0</v>
      </c>
      <c r="K45" s="32"/>
      <c r="L45" s="37" t="str">
        <f t="shared" si="1"/>
        <v/>
      </c>
      <c r="M45" s="38"/>
      <c r="N45" s="29" t="s">
        <v>48</v>
      </c>
      <c r="O45" s="29" t="s">
        <v>48</v>
      </c>
    </row>
    <row r="46" spans="1:16" ht="21.75" customHeight="1">
      <c r="A46" s="13">
        <v>37</v>
      </c>
      <c r="B46" s="15">
        <v>1817</v>
      </c>
      <c r="C46" s="22" t="s">
        <v>233</v>
      </c>
      <c r="D46" s="21" t="s">
        <v>238</v>
      </c>
      <c r="E46" s="24" t="s">
        <v>37</v>
      </c>
      <c r="F46" s="26" t="s">
        <v>40</v>
      </c>
      <c r="G46" s="28">
        <v>0</v>
      </c>
      <c r="H46" s="31">
        <v>0</v>
      </c>
      <c r="I46" s="31">
        <v>0</v>
      </c>
      <c r="J46" s="31">
        <v>0</v>
      </c>
      <c r="K46" s="32"/>
      <c r="L46" s="37" t="str">
        <f t="shared" si="1"/>
        <v/>
      </c>
      <c r="M46" s="38"/>
      <c r="N46" s="29" t="s">
        <v>48</v>
      </c>
      <c r="O46" s="29" t="s">
        <v>48</v>
      </c>
    </row>
    <row r="47" spans="1:16" ht="21.75" customHeight="1">
      <c r="A47" s="13">
        <v>38</v>
      </c>
      <c r="B47" s="17">
        <v>1818</v>
      </c>
      <c r="C47" s="22" t="s">
        <v>233</v>
      </c>
      <c r="D47" s="25" t="s">
        <v>242</v>
      </c>
      <c r="E47" s="13" t="s">
        <v>37</v>
      </c>
      <c r="F47" s="29" t="s">
        <v>40</v>
      </c>
      <c r="G47" s="33">
        <v>0</v>
      </c>
      <c r="H47" s="34">
        <v>0</v>
      </c>
      <c r="I47" s="34">
        <v>0</v>
      </c>
      <c r="J47" s="34">
        <v>0</v>
      </c>
      <c r="K47" s="32"/>
      <c r="L47" s="37" t="str">
        <f t="shared" si="1"/>
        <v/>
      </c>
      <c r="M47" s="38"/>
      <c r="N47" s="29" t="s">
        <v>48</v>
      </c>
      <c r="O47" s="29" t="s">
        <v>48</v>
      </c>
    </row>
    <row r="48" spans="1:16" ht="21.75" customHeight="1">
      <c r="A48" s="13">
        <v>39</v>
      </c>
      <c r="B48" s="17">
        <v>1762</v>
      </c>
      <c r="C48" s="22" t="s">
        <v>245</v>
      </c>
      <c r="D48" s="25" t="s">
        <v>246</v>
      </c>
      <c r="E48" s="13" t="s">
        <v>37</v>
      </c>
      <c r="F48" s="29" t="s">
        <v>40</v>
      </c>
      <c r="G48" s="33">
        <v>0</v>
      </c>
      <c r="H48" s="34">
        <v>0</v>
      </c>
      <c r="I48" s="34">
        <v>0</v>
      </c>
      <c r="J48" s="34">
        <v>0</v>
      </c>
      <c r="K48" s="32"/>
      <c r="L48" s="37" t="str">
        <f t="shared" si="1"/>
        <v/>
      </c>
      <c r="M48" s="38"/>
      <c r="N48" s="29" t="s">
        <v>48</v>
      </c>
      <c r="O48" s="29" t="s">
        <v>48</v>
      </c>
    </row>
    <row r="49" spans="1:15" ht="21.75" customHeight="1">
      <c r="A49" s="13">
        <v>40</v>
      </c>
      <c r="B49" s="15">
        <v>1763</v>
      </c>
      <c r="C49" s="22" t="s">
        <v>245</v>
      </c>
      <c r="D49" s="21" t="s">
        <v>249</v>
      </c>
      <c r="E49" s="24" t="s">
        <v>250</v>
      </c>
      <c r="F49" s="26" t="s">
        <v>40</v>
      </c>
      <c r="G49" s="28">
        <v>0</v>
      </c>
      <c r="H49" s="31">
        <v>0</v>
      </c>
      <c r="I49" s="31">
        <v>0</v>
      </c>
      <c r="J49" s="31">
        <v>0</v>
      </c>
      <c r="K49" s="32"/>
      <c r="L49" s="37" t="str">
        <f t="shared" si="1"/>
        <v/>
      </c>
      <c r="M49" s="38"/>
      <c r="N49" s="29" t="s">
        <v>48</v>
      </c>
      <c r="O49" s="29" t="s">
        <v>48</v>
      </c>
    </row>
    <row r="50" spans="1:15" ht="21.75" customHeight="1">
      <c r="A50" s="13">
        <v>41</v>
      </c>
      <c r="B50" s="17">
        <v>1764</v>
      </c>
      <c r="C50" s="22" t="s">
        <v>245</v>
      </c>
      <c r="D50" s="25" t="s">
        <v>254</v>
      </c>
      <c r="E50" s="13" t="s">
        <v>37</v>
      </c>
      <c r="F50" s="29" t="s">
        <v>40</v>
      </c>
      <c r="G50" s="33">
        <v>0</v>
      </c>
      <c r="H50" s="34">
        <v>0</v>
      </c>
      <c r="I50" s="34">
        <v>0</v>
      </c>
      <c r="J50" s="34">
        <v>0</v>
      </c>
      <c r="K50" s="32"/>
      <c r="L50" s="37" t="str">
        <f t="shared" si="1"/>
        <v/>
      </c>
      <c r="M50" s="38"/>
      <c r="N50" s="29" t="s">
        <v>48</v>
      </c>
      <c r="O50" s="29" t="s">
        <v>48</v>
      </c>
    </row>
    <row r="51" spans="1:15" ht="21.75" customHeight="1">
      <c r="A51" s="13">
        <v>42</v>
      </c>
      <c r="B51" s="15">
        <v>1820</v>
      </c>
      <c r="C51" s="22" t="s">
        <v>245</v>
      </c>
      <c r="D51" s="21" t="s">
        <v>258</v>
      </c>
      <c r="E51" s="24" t="s">
        <v>37</v>
      </c>
      <c r="F51" s="26" t="s">
        <v>40</v>
      </c>
      <c r="G51" s="28">
        <v>0</v>
      </c>
      <c r="H51" s="31">
        <v>0</v>
      </c>
      <c r="I51" s="31">
        <v>0</v>
      </c>
      <c r="J51" s="31">
        <v>0</v>
      </c>
      <c r="K51" s="32"/>
      <c r="L51" s="37" t="str">
        <f t="shared" si="1"/>
        <v/>
      </c>
      <c r="M51" s="38"/>
      <c r="N51" s="29" t="s">
        <v>48</v>
      </c>
      <c r="O51" s="29" t="s">
        <v>48</v>
      </c>
    </row>
    <row r="52" spans="1:15" ht="21.75" customHeight="1">
      <c r="A52" s="13">
        <v>43</v>
      </c>
      <c r="B52" s="17">
        <v>1823</v>
      </c>
      <c r="C52" s="22" t="s">
        <v>158</v>
      </c>
      <c r="D52" s="25" t="s">
        <v>262</v>
      </c>
      <c r="E52" s="13" t="s">
        <v>37</v>
      </c>
      <c r="F52" s="29" t="s">
        <v>40</v>
      </c>
      <c r="G52" s="33">
        <v>0</v>
      </c>
      <c r="H52" s="34">
        <v>0</v>
      </c>
      <c r="I52" s="34">
        <v>0</v>
      </c>
      <c r="J52" s="34">
        <v>0</v>
      </c>
      <c r="K52" s="32"/>
      <c r="L52" s="37" t="str">
        <f t="shared" si="1"/>
        <v/>
      </c>
      <c r="M52" s="38"/>
      <c r="N52" s="29" t="s">
        <v>48</v>
      </c>
      <c r="O52" s="29" t="s">
        <v>48</v>
      </c>
    </row>
    <row r="53" spans="1:15" ht="21.75" customHeight="1">
      <c r="A53" s="13">
        <v>44</v>
      </c>
      <c r="B53" s="17">
        <v>1825</v>
      </c>
      <c r="C53" s="22" t="s">
        <v>265</v>
      </c>
      <c r="D53" s="25" t="s">
        <v>266</v>
      </c>
      <c r="E53" s="13" t="s">
        <v>37</v>
      </c>
      <c r="F53" s="29" t="s">
        <v>40</v>
      </c>
      <c r="G53" s="33">
        <v>0</v>
      </c>
      <c r="H53" s="34">
        <v>0</v>
      </c>
      <c r="I53" s="34">
        <v>0</v>
      </c>
      <c r="J53" s="34">
        <v>0</v>
      </c>
      <c r="K53" s="32"/>
      <c r="L53" s="37" t="str">
        <f t="shared" si="1"/>
        <v/>
      </c>
      <c r="M53" s="38"/>
      <c r="N53" s="29" t="s">
        <v>48</v>
      </c>
      <c r="O53" s="29" t="s">
        <v>48</v>
      </c>
    </row>
    <row r="54" spans="1:15" ht="21.75" customHeight="1">
      <c r="A54" s="13">
        <v>45</v>
      </c>
      <c r="B54" s="17">
        <v>1857</v>
      </c>
      <c r="C54" s="22" t="s">
        <v>270</v>
      </c>
      <c r="D54" s="25" t="s">
        <v>271</v>
      </c>
      <c r="E54" s="13" t="s">
        <v>37</v>
      </c>
      <c r="F54" s="29" t="s">
        <v>40</v>
      </c>
      <c r="G54" s="33">
        <v>0</v>
      </c>
      <c r="H54" s="34">
        <v>0</v>
      </c>
      <c r="I54" s="34">
        <v>0</v>
      </c>
      <c r="J54" s="34">
        <v>0</v>
      </c>
      <c r="K54" s="32"/>
      <c r="L54" s="37" t="str">
        <f t="shared" si="1"/>
        <v/>
      </c>
      <c r="M54" s="38"/>
      <c r="N54" s="29" t="s">
        <v>48</v>
      </c>
      <c r="O54" s="29" t="s">
        <v>48</v>
      </c>
    </row>
    <row r="55" spans="1:15" ht="21.75" customHeight="1">
      <c r="A55" s="13">
        <v>46</v>
      </c>
      <c r="B55" s="17">
        <v>1770</v>
      </c>
      <c r="C55" s="22" t="s">
        <v>273</v>
      </c>
      <c r="D55" s="21" t="s">
        <v>274</v>
      </c>
      <c r="E55" s="13" t="s">
        <v>275</v>
      </c>
      <c r="F55" s="29" t="s">
        <v>40</v>
      </c>
      <c r="G55" s="33">
        <v>0</v>
      </c>
      <c r="H55" s="34">
        <v>0</v>
      </c>
      <c r="I55" s="34">
        <v>0</v>
      </c>
      <c r="J55" s="34">
        <v>0</v>
      </c>
      <c r="K55" s="32"/>
      <c r="L55" s="37" t="str">
        <f t="shared" si="1"/>
        <v/>
      </c>
      <c r="M55" s="38"/>
      <c r="N55" s="29" t="s">
        <v>48</v>
      </c>
      <c r="O55" s="29" t="s">
        <v>48</v>
      </c>
    </row>
    <row r="56" spans="1:15" ht="21.75" customHeight="1">
      <c r="A56" s="13">
        <v>47</v>
      </c>
      <c r="B56" s="17">
        <v>1828</v>
      </c>
      <c r="C56" s="22" t="s">
        <v>278</v>
      </c>
      <c r="D56" s="25" t="s">
        <v>279</v>
      </c>
      <c r="E56" s="13" t="s">
        <v>37</v>
      </c>
      <c r="F56" s="29" t="s">
        <v>40</v>
      </c>
      <c r="G56" s="33">
        <v>0</v>
      </c>
      <c r="H56" s="34">
        <v>0</v>
      </c>
      <c r="I56" s="34">
        <v>0</v>
      </c>
      <c r="J56" s="34">
        <v>0</v>
      </c>
      <c r="K56" s="32"/>
      <c r="L56" s="37" t="str">
        <f t="shared" si="1"/>
        <v/>
      </c>
      <c r="M56" s="38"/>
      <c r="N56" s="29" t="s">
        <v>48</v>
      </c>
      <c r="O56" s="29" t="s">
        <v>48</v>
      </c>
    </row>
    <row r="57" spans="1:15" ht="21.75" customHeight="1">
      <c r="A57" s="13">
        <v>48</v>
      </c>
      <c r="B57" s="15">
        <v>1829</v>
      </c>
      <c r="C57" s="22" t="s">
        <v>282</v>
      </c>
      <c r="D57" s="21" t="s">
        <v>142</v>
      </c>
      <c r="E57" s="24" t="s">
        <v>37</v>
      </c>
      <c r="F57" s="26" t="s">
        <v>40</v>
      </c>
      <c r="G57" s="28">
        <v>0</v>
      </c>
      <c r="H57" s="31">
        <v>0</v>
      </c>
      <c r="I57" s="31">
        <v>0</v>
      </c>
      <c r="J57" s="31">
        <v>0</v>
      </c>
      <c r="K57" s="32"/>
      <c r="L57" s="37" t="str">
        <f t="shared" si="1"/>
        <v/>
      </c>
      <c r="M57" s="38"/>
      <c r="N57" s="29" t="s">
        <v>48</v>
      </c>
      <c r="O57" s="29" t="s">
        <v>48</v>
      </c>
    </row>
    <row r="58" spans="1:15" ht="21.75" customHeight="1">
      <c r="A58" s="13">
        <v>49</v>
      </c>
      <c r="B58" s="17">
        <v>1830</v>
      </c>
      <c r="C58" s="22" t="s">
        <v>286</v>
      </c>
      <c r="D58" s="25" t="s">
        <v>287</v>
      </c>
      <c r="E58" s="13" t="s">
        <v>37</v>
      </c>
      <c r="F58" s="29" t="s">
        <v>40</v>
      </c>
      <c r="G58" s="33">
        <v>0</v>
      </c>
      <c r="H58" s="34">
        <v>0</v>
      </c>
      <c r="I58" s="34">
        <v>0</v>
      </c>
      <c r="J58" s="34">
        <v>0</v>
      </c>
      <c r="K58" s="32"/>
      <c r="L58" s="37" t="str">
        <f t="shared" si="1"/>
        <v/>
      </c>
      <c r="M58" s="38"/>
      <c r="N58" s="29" t="s">
        <v>48</v>
      </c>
      <c r="O58" s="29" t="s">
        <v>48</v>
      </c>
    </row>
    <row r="59" spans="1:15" ht="21.75" customHeight="1">
      <c r="A59" s="13">
        <v>50</v>
      </c>
      <c r="B59" s="15">
        <v>1831</v>
      </c>
      <c r="C59" s="22" t="s">
        <v>289</v>
      </c>
      <c r="D59" s="21" t="s">
        <v>290</v>
      </c>
      <c r="E59" s="24" t="s">
        <v>37</v>
      </c>
      <c r="F59" s="26" t="s">
        <v>40</v>
      </c>
      <c r="G59" s="28">
        <v>0</v>
      </c>
      <c r="H59" s="31">
        <v>0</v>
      </c>
      <c r="I59" s="31">
        <v>0</v>
      </c>
      <c r="J59" s="31">
        <v>0</v>
      </c>
      <c r="K59" s="32"/>
      <c r="L59" s="37" t="str">
        <f t="shared" si="1"/>
        <v/>
      </c>
      <c r="M59" s="38"/>
      <c r="N59" s="29" t="s">
        <v>48</v>
      </c>
      <c r="O59" s="29" t="s">
        <v>48</v>
      </c>
    </row>
    <row r="60" spans="1:15" ht="21.75" customHeight="1">
      <c r="A60" s="13">
        <v>51</v>
      </c>
      <c r="B60" s="17">
        <v>1832</v>
      </c>
      <c r="C60" s="22" t="s">
        <v>294</v>
      </c>
      <c r="D60" s="21" t="s">
        <v>295</v>
      </c>
      <c r="E60" s="13" t="s">
        <v>37</v>
      </c>
      <c r="F60" s="29" t="s">
        <v>40</v>
      </c>
      <c r="G60" s="33">
        <v>0</v>
      </c>
      <c r="H60" s="34">
        <v>0</v>
      </c>
      <c r="I60" s="34">
        <v>0</v>
      </c>
      <c r="J60" s="34">
        <v>0</v>
      </c>
      <c r="K60" s="32"/>
      <c r="L60" s="37" t="str">
        <f t="shared" si="1"/>
        <v/>
      </c>
      <c r="M60" s="38"/>
      <c r="N60" s="29" t="s">
        <v>48</v>
      </c>
      <c r="O60" s="29" t="s">
        <v>48</v>
      </c>
    </row>
    <row r="61" spans="1:15" ht="21.75" customHeight="1">
      <c r="A61" s="13">
        <v>52</v>
      </c>
      <c r="B61" s="15">
        <v>1833</v>
      </c>
      <c r="C61" s="22" t="s">
        <v>298</v>
      </c>
      <c r="D61" s="21" t="s">
        <v>299</v>
      </c>
      <c r="E61" s="24" t="s">
        <v>37</v>
      </c>
      <c r="F61" s="26" t="s">
        <v>40</v>
      </c>
      <c r="G61" s="28">
        <v>0</v>
      </c>
      <c r="H61" s="31">
        <v>0</v>
      </c>
      <c r="I61" s="31">
        <v>0</v>
      </c>
      <c r="J61" s="31">
        <v>0</v>
      </c>
      <c r="K61" s="32"/>
      <c r="L61" s="37" t="str">
        <f t="shared" si="1"/>
        <v/>
      </c>
      <c r="M61" s="38"/>
      <c r="N61" s="29" t="s">
        <v>48</v>
      </c>
      <c r="O61" s="29" t="s">
        <v>48</v>
      </c>
    </row>
    <row r="62" spans="1:15" ht="21.75" customHeight="1">
      <c r="A62" s="13">
        <v>53</v>
      </c>
      <c r="B62" s="17">
        <v>1858</v>
      </c>
      <c r="C62" s="22" t="s">
        <v>303</v>
      </c>
      <c r="D62" s="21" t="s">
        <v>295</v>
      </c>
      <c r="E62" s="13" t="s">
        <v>37</v>
      </c>
      <c r="F62" s="29" t="s">
        <v>40</v>
      </c>
      <c r="G62" s="33">
        <v>0</v>
      </c>
      <c r="H62" s="34">
        <v>0</v>
      </c>
      <c r="I62" s="34">
        <v>0</v>
      </c>
      <c r="J62" s="34">
        <v>0</v>
      </c>
      <c r="K62" s="32"/>
      <c r="L62" s="37" t="str">
        <f t="shared" si="1"/>
        <v/>
      </c>
      <c r="M62" s="38"/>
      <c r="N62" s="29" t="s">
        <v>48</v>
      </c>
      <c r="O62" s="29" t="s">
        <v>48</v>
      </c>
    </row>
    <row r="63" spans="1:15" ht="21.75" customHeight="1">
      <c r="A63" s="13">
        <v>54</v>
      </c>
      <c r="B63" s="17">
        <v>1834</v>
      </c>
      <c r="C63" s="22" t="s">
        <v>308</v>
      </c>
      <c r="D63" s="25" t="s">
        <v>146</v>
      </c>
      <c r="E63" s="13" t="s">
        <v>37</v>
      </c>
      <c r="F63" s="29" t="s">
        <v>40</v>
      </c>
      <c r="G63" s="33">
        <v>0</v>
      </c>
      <c r="H63" s="34">
        <v>0</v>
      </c>
      <c r="I63" s="34">
        <v>0</v>
      </c>
      <c r="J63" s="34">
        <v>0</v>
      </c>
      <c r="K63" s="32"/>
      <c r="L63" s="37" t="str">
        <f t="shared" si="1"/>
        <v/>
      </c>
      <c r="M63" s="38"/>
      <c r="N63" s="29" t="s">
        <v>48</v>
      </c>
      <c r="O63" s="29" t="s">
        <v>48</v>
      </c>
    </row>
    <row r="64" spans="1:15" ht="21.75" customHeight="1">
      <c r="A64" s="13">
        <v>55</v>
      </c>
      <c r="B64" s="15">
        <v>1835</v>
      </c>
      <c r="C64" s="22" t="s">
        <v>311</v>
      </c>
      <c r="D64" s="21" t="s">
        <v>312</v>
      </c>
      <c r="E64" s="24" t="s">
        <v>37</v>
      </c>
      <c r="F64" s="26" t="s">
        <v>40</v>
      </c>
      <c r="G64" s="28">
        <v>0</v>
      </c>
      <c r="H64" s="31">
        <v>0</v>
      </c>
      <c r="I64" s="31">
        <v>0</v>
      </c>
      <c r="J64" s="31">
        <v>0</v>
      </c>
      <c r="K64" s="32"/>
      <c r="L64" s="37" t="str">
        <f t="shared" si="1"/>
        <v/>
      </c>
      <c r="M64" s="38"/>
      <c r="N64" s="29" t="s">
        <v>48</v>
      </c>
      <c r="O64" s="29" t="s">
        <v>48</v>
      </c>
    </row>
    <row r="65" spans="1:15" ht="21.75" customHeight="1">
      <c r="A65" s="13">
        <v>56</v>
      </c>
      <c r="B65" s="15">
        <v>1837</v>
      </c>
      <c r="C65" s="22" t="s">
        <v>316</v>
      </c>
      <c r="D65" s="21" t="s">
        <v>317</v>
      </c>
      <c r="E65" s="24" t="s">
        <v>37</v>
      </c>
      <c r="F65" s="26" t="s">
        <v>40</v>
      </c>
      <c r="G65" s="28">
        <v>0</v>
      </c>
      <c r="H65" s="31">
        <v>0</v>
      </c>
      <c r="I65" s="31">
        <v>0</v>
      </c>
      <c r="J65" s="31">
        <v>0</v>
      </c>
      <c r="K65" s="32"/>
      <c r="L65" s="37" t="str">
        <f t="shared" si="1"/>
        <v/>
      </c>
      <c r="M65" s="38"/>
      <c r="N65" s="29" t="s">
        <v>48</v>
      </c>
      <c r="O65" s="29" t="s">
        <v>48</v>
      </c>
    </row>
    <row r="66" spans="1:15" ht="21.75" customHeight="1">
      <c r="A66" s="13">
        <v>57</v>
      </c>
      <c r="B66" s="17">
        <v>1838</v>
      </c>
      <c r="C66" s="22" t="s">
        <v>319</v>
      </c>
      <c r="D66" s="25" t="s">
        <v>321</v>
      </c>
      <c r="E66" s="13" t="s">
        <v>37</v>
      </c>
      <c r="F66" s="29" t="s">
        <v>40</v>
      </c>
      <c r="G66" s="33">
        <v>0</v>
      </c>
      <c r="H66" s="34">
        <v>0</v>
      </c>
      <c r="I66" s="34">
        <v>0</v>
      </c>
      <c r="J66" s="34">
        <v>0</v>
      </c>
      <c r="K66" s="32"/>
      <c r="L66" s="37" t="str">
        <f t="shared" si="1"/>
        <v/>
      </c>
      <c r="M66" s="38"/>
      <c r="N66" s="29" t="s">
        <v>48</v>
      </c>
      <c r="O66" s="29" t="s">
        <v>48</v>
      </c>
    </row>
    <row r="67" spans="1:15" ht="21.75" customHeight="1">
      <c r="A67" s="13">
        <v>58</v>
      </c>
      <c r="B67" s="17">
        <v>1839</v>
      </c>
      <c r="C67" s="22" t="s">
        <v>323</v>
      </c>
      <c r="D67" s="25" t="s">
        <v>321</v>
      </c>
      <c r="E67" s="13" t="s">
        <v>37</v>
      </c>
      <c r="F67" s="29" t="s">
        <v>40</v>
      </c>
      <c r="G67" s="33">
        <v>0</v>
      </c>
      <c r="H67" s="34">
        <v>0</v>
      </c>
      <c r="I67" s="34">
        <v>0</v>
      </c>
      <c r="J67" s="34">
        <v>0</v>
      </c>
      <c r="K67" s="32"/>
      <c r="L67" s="37" t="str">
        <f t="shared" si="1"/>
        <v/>
      </c>
      <c r="M67" s="38"/>
      <c r="N67" s="29" t="s">
        <v>48</v>
      </c>
      <c r="O67" s="29" t="s">
        <v>48</v>
      </c>
    </row>
    <row r="68" spans="1:15" ht="21.75" customHeight="1">
      <c r="A68" s="13">
        <v>59</v>
      </c>
      <c r="B68" s="15">
        <v>1840</v>
      </c>
      <c r="C68" s="22" t="s">
        <v>329</v>
      </c>
      <c r="D68" s="21" t="s">
        <v>330</v>
      </c>
      <c r="E68" s="24" t="s">
        <v>37</v>
      </c>
      <c r="F68" s="26" t="s">
        <v>40</v>
      </c>
      <c r="G68" s="28">
        <v>0</v>
      </c>
      <c r="H68" s="31">
        <v>0</v>
      </c>
      <c r="I68" s="31">
        <v>0</v>
      </c>
      <c r="J68" s="31">
        <v>0</v>
      </c>
      <c r="K68" s="32"/>
      <c r="L68" s="37" t="str">
        <f t="shared" si="1"/>
        <v/>
      </c>
      <c r="M68" s="38"/>
      <c r="N68" s="29" t="s">
        <v>48</v>
      </c>
      <c r="O68" s="29" t="s">
        <v>48</v>
      </c>
    </row>
    <row r="69" spans="1:15" ht="21.75" customHeight="1">
      <c r="A69" s="13">
        <v>60</v>
      </c>
      <c r="B69" s="15">
        <v>1841</v>
      </c>
      <c r="C69" s="22" t="s">
        <v>335</v>
      </c>
      <c r="D69" s="21" t="s">
        <v>336</v>
      </c>
      <c r="E69" s="24" t="s">
        <v>37</v>
      </c>
      <c r="F69" s="26" t="s">
        <v>40</v>
      </c>
      <c r="G69" s="28">
        <v>0</v>
      </c>
      <c r="H69" s="31">
        <v>0</v>
      </c>
      <c r="I69" s="31">
        <v>0</v>
      </c>
      <c r="J69" s="31">
        <v>0</v>
      </c>
      <c r="K69" s="32"/>
      <c r="L69" s="37" t="str">
        <f t="shared" si="1"/>
        <v/>
      </c>
      <c r="M69" s="38"/>
      <c r="N69" s="29" t="s">
        <v>48</v>
      </c>
      <c r="O69" s="29" t="s">
        <v>48</v>
      </c>
    </row>
    <row r="70" spans="1:15" ht="21.75" customHeight="1">
      <c r="A70" s="13">
        <v>61</v>
      </c>
      <c r="B70" s="17">
        <v>1842</v>
      </c>
      <c r="C70" s="22" t="s">
        <v>338</v>
      </c>
      <c r="D70" s="25" t="s">
        <v>339</v>
      </c>
      <c r="E70" s="13" t="s">
        <v>37</v>
      </c>
      <c r="F70" s="29" t="s">
        <v>40</v>
      </c>
      <c r="G70" s="33">
        <v>0</v>
      </c>
      <c r="H70" s="34">
        <v>0</v>
      </c>
      <c r="I70" s="34">
        <v>0</v>
      </c>
      <c r="J70" s="34">
        <v>0</v>
      </c>
      <c r="K70" s="32"/>
      <c r="L70" s="37" t="str">
        <f t="shared" si="1"/>
        <v/>
      </c>
      <c r="M70" s="38"/>
      <c r="N70" s="29" t="s">
        <v>48</v>
      </c>
      <c r="O70" s="29" t="s">
        <v>48</v>
      </c>
    </row>
    <row r="71" spans="1:15" ht="21.75" customHeight="1">
      <c r="A71" s="13">
        <v>62</v>
      </c>
      <c r="B71" s="17">
        <v>1844</v>
      </c>
      <c r="C71" s="22" t="s">
        <v>343</v>
      </c>
      <c r="D71" s="25" t="s">
        <v>344</v>
      </c>
      <c r="E71" s="13" t="s">
        <v>37</v>
      </c>
      <c r="F71" s="29" t="s">
        <v>40</v>
      </c>
      <c r="G71" s="33">
        <v>0</v>
      </c>
      <c r="H71" s="34">
        <v>0</v>
      </c>
      <c r="I71" s="34">
        <v>0</v>
      </c>
      <c r="J71" s="34">
        <v>0</v>
      </c>
      <c r="K71" s="32"/>
      <c r="L71" s="37" t="str">
        <f t="shared" si="1"/>
        <v/>
      </c>
      <c r="M71" s="38"/>
      <c r="N71" s="29" t="s">
        <v>48</v>
      </c>
      <c r="O71" s="29" t="s">
        <v>48</v>
      </c>
    </row>
    <row r="72" spans="1:15" ht="21.75" customHeight="1">
      <c r="A72" s="13">
        <v>63</v>
      </c>
      <c r="B72" s="15">
        <v>1845</v>
      </c>
      <c r="C72" s="22" t="s">
        <v>263</v>
      </c>
      <c r="D72" s="21" t="s">
        <v>348</v>
      </c>
      <c r="E72" s="24" t="s">
        <v>37</v>
      </c>
      <c r="F72" s="26" t="s">
        <v>40</v>
      </c>
      <c r="G72" s="28">
        <v>0</v>
      </c>
      <c r="H72" s="31">
        <v>0</v>
      </c>
      <c r="I72" s="31">
        <v>0</v>
      </c>
      <c r="J72" s="31">
        <v>0</v>
      </c>
      <c r="K72" s="32"/>
      <c r="L72" s="37" t="str">
        <f t="shared" si="1"/>
        <v/>
      </c>
      <c r="M72" s="38"/>
      <c r="N72" s="29" t="s">
        <v>48</v>
      </c>
      <c r="O72" s="29" t="s">
        <v>48</v>
      </c>
    </row>
    <row r="73" spans="1:15" ht="21.75" customHeight="1">
      <c r="A73" s="13">
        <v>64</v>
      </c>
      <c r="B73" s="17">
        <v>1846</v>
      </c>
      <c r="C73" s="22" t="s">
        <v>263</v>
      </c>
      <c r="D73" s="25" t="s">
        <v>352</v>
      </c>
      <c r="E73" s="13" t="s">
        <v>37</v>
      </c>
      <c r="F73" s="29" t="s">
        <v>40</v>
      </c>
      <c r="G73" s="33">
        <v>0</v>
      </c>
      <c r="H73" s="34">
        <v>0</v>
      </c>
      <c r="I73" s="34">
        <v>0</v>
      </c>
      <c r="J73" s="34">
        <v>0</v>
      </c>
      <c r="K73" s="32"/>
      <c r="L73" s="37" t="str">
        <f t="shared" si="1"/>
        <v/>
      </c>
      <c r="M73" s="38"/>
      <c r="N73" s="29" t="s">
        <v>48</v>
      </c>
      <c r="O73" s="29" t="s">
        <v>48</v>
      </c>
    </row>
    <row r="74" spans="1:15" ht="21.75" customHeight="1">
      <c r="A74" s="13">
        <v>65</v>
      </c>
      <c r="B74" s="15">
        <v>1847</v>
      </c>
      <c r="C74" s="22" t="s">
        <v>263</v>
      </c>
      <c r="D74" s="21" t="s">
        <v>353</v>
      </c>
      <c r="E74" s="24" t="s">
        <v>37</v>
      </c>
      <c r="F74" s="26" t="s">
        <v>40</v>
      </c>
      <c r="G74" s="28">
        <v>0</v>
      </c>
      <c r="H74" s="31">
        <v>0</v>
      </c>
      <c r="I74" s="31">
        <v>0</v>
      </c>
      <c r="J74" s="31">
        <v>0</v>
      </c>
      <c r="K74" s="32"/>
      <c r="L74" s="37" t="str">
        <f t="shared" si="1"/>
        <v/>
      </c>
      <c r="M74" s="38"/>
      <c r="N74" s="29" t="s">
        <v>48</v>
      </c>
      <c r="O74" s="29" t="s">
        <v>48</v>
      </c>
    </row>
    <row r="75" spans="1:15" ht="21.75" customHeight="1">
      <c r="A75" s="13">
        <v>66</v>
      </c>
      <c r="B75" s="15">
        <v>1850</v>
      </c>
      <c r="C75" s="22" t="s">
        <v>357</v>
      </c>
      <c r="D75" s="21" t="s">
        <v>358</v>
      </c>
      <c r="E75" s="24" t="s">
        <v>37</v>
      </c>
      <c r="F75" s="26" t="s">
        <v>40</v>
      </c>
      <c r="G75" s="28">
        <v>0</v>
      </c>
      <c r="H75" s="31">
        <v>0</v>
      </c>
      <c r="I75" s="31">
        <v>0</v>
      </c>
      <c r="J75" s="31">
        <v>0</v>
      </c>
      <c r="K75" s="32"/>
      <c r="L75" s="37" t="str">
        <f t="shared" si="1"/>
        <v/>
      </c>
      <c r="M75" s="38"/>
      <c r="N75" s="29" t="s">
        <v>48</v>
      </c>
      <c r="O75" s="29" t="s">
        <v>48</v>
      </c>
    </row>
    <row r="76" spans="1:15" ht="21.75" customHeight="1">
      <c r="A76" s="13">
        <v>67</v>
      </c>
      <c r="B76" s="17">
        <v>1851</v>
      </c>
      <c r="C76" s="22" t="s">
        <v>363</v>
      </c>
      <c r="D76" s="25" t="s">
        <v>364</v>
      </c>
      <c r="E76" s="13" t="s">
        <v>37</v>
      </c>
      <c r="F76" s="29" t="s">
        <v>40</v>
      </c>
      <c r="G76" s="33">
        <v>0</v>
      </c>
      <c r="H76" s="34">
        <v>0</v>
      </c>
      <c r="I76" s="34">
        <v>0</v>
      </c>
      <c r="J76" s="34">
        <v>0</v>
      </c>
      <c r="K76" s="32"/>
      <c r="L76" s="37" t="str">
        <f t="shared" si="1"/>
        <v/>
      </c>
      <c r="M76" s="38"/>
      <c r="N76" s="29" t="s">
        <v>48</v>
      </c>
      <c r="O76" s="29" t="s">
        <v>48</v>
      </c>
    </row>
    <row r="77" spans="1:15" ht="21.75" customHeight="1">
      <c r="A77" s="13">
        <v>68</v>
      </c>
      <c r="B77" s="15">
        <v>1852</v>
      </c>
      <c r="C77" s="22" t="s">
        <v>368</v>
      </c>
      <c r="D77" s="21" t="s">
        <v>369</v>
      </c>
      <c r="E77" s="24" t="s">
        <v>37</v>
      </c>
      <c r="F77" s="26" t="s">
        <v>40</v>
      </c>
      <c r="G77" s="28">
        <v>0</v>
      </c>
      <c r="H77" s="31">
        <v>0</v>
      </c>
      <c r="I77" s="31">
        <v>0</v>
      </c>
      <c r="J77" s="31">
        <v>0</v>
      </c>
      <c r="K77" s="32"/>
      <c r="L77" s="37" t="str">
        <f t="shared" si="1"/>
        <v/>
      </c>
      <c r="M77" s="38"/>
      <c r="N77" s="29" t="s">
        <v>48</v>
      </c>
      <c r="O77" s="29" t="s">
        <v>48</v>
      </c>
    </row>
    <row r="78" spans="1:15" ht="21.75" customHeight="1">
      <c r="A78" s="13">
        <v>69</v>
      </c>
      <c r="B78" s="15">
        <v>1853</v>
      </c>
      <c r="C78" s="22" t="s">
        <v>372</v>
      </c>
      <c r="D78" s="21" t="s">
        <v>373</v>
      </c>
      <c r="E78" s="24" t="s">
        <v>37</v>
      </c>
      <c r="F78" s="26" t="s">
        <v>40</v>
      </c>
      <c r="G78" s="28">
        <v>0</v>
      </c>
      <c r="H78" s="31">
        <v>0</v>
      </c>
      <c r="I78" s="31">
        <v>0</v>
      </c>
      <c r="J78" s="31">
        <v>0</v>
      </c>
      <c r="K78" s="32"/>
      <c r="L78" s="37" t="str">
        <f t="shared" si="1"/>
        <v/>
      </c>
      <c r="M78" s="38"/>
      <c r="N78" s="29" t="s">
        <v>48</v>
      </c>
      <c r="O78" s="29" t="s">
        <v>48</v>
      </c>
    </row>
    <row r="79" spans="1:15" ht="21.75" customHeight="1">
      <c r="A79" s="13">
        <v>70</v>
      </c>
      <c r="B79" s="17">
        <v>1854</v>
      </c>
      <c r="C79" s="22" t="s">
        <v>374</v>
      </c>
      <c r="D79" s="25" t="s">
        <v>375</v>
      </c>
      <c r="E79" s="13" t="s">
        <v>37</v>
      </c>
      <c r="F79" s="29" t="s">
        <v>40</v>
      </c>
      <c r="G79" s="33">
        <v>0</v>
      </c>
      <c r="H79" s="34">
        <v>0</v>
      </c>
      <c r="I79" s="34">
        <v>0</v>
      </c>
      <c r="J79" s="34">
        <v>0</v>
      </c>
      <c r="K79" s="32"/>
      <c r="L79" s="37" t="str">
        <f t="shared" si="1"/>
        <v/>
      </c>
      <c r="M79" s="38"/>
      <c r="N79" s="29" t="s">
        <v>48</v>
      </c>
      <c r="O79" s="29" t="s">
        <v>48</v>
      </c>
    </row>
    <row r="80" spans="1:15" ht="25.5" customHeight="1">
      <c r="A80" s="102" t="s">
        <v>378</v>
      </c>
      <c r="B80" s="103"/>
      <c r="C80" s="103"/>
      <c r="D80" s="103"/>
      <c r="E80" s="103"/>
      <c r="F80" s="104"/>
      <c r="G80" s="47">
        <f t="shared" ref="G80:M80" si="2">SUM(G10:G79)</f>
        <v>0</v>
      </c>
      <c r="H80" s="47">
        <f t="shared" si="2"/>
        <v>0</v>
      </c>
      <c r="I80" s="47">
        <f t="shared" si="2"/>
        <v>0</v>
      </c>
      <c r="J80" s="47">
        <f t="shared" si="2"/>
        <v>0</v>
      </c>
      <c r="K80" s="47">
        <f t="shared" si="2"/>
        <v>0</v>
      </c>
      <c r="L80" s="48">
        <f t="shared" si="2"/>
        <v>0</v>
      </c>
      <c r="M80" s="47">
        <f t="shared" si="2"/>
        <v>0</v>
      </c>
      <c r="N80" s="49"/>
      <c r="O80" s="49"/>
    </row>
    <row r="81" spans="1:26" ht="15.75" customHeight="1"/>
    <row r="82" spans="1:26" ht="15.75" customHeight="1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105" t="s">
        <v>389</v>
      </c>
      <c r="L82" s="88"/>
      <c r="M82" s="88"/>
      <c r="N82" s="88"/>
      <c r="O82" s="88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spans="1:26" ht="19.5" customHeight="1">
      <c r="A83" s="98" t="s">
        <v>391</v>
      </c>
      <c r="B83" s="88"/>
      <c r="C83" s="88"/>
      <c r="D83" s="98" t="s">
        <v>392</v>
      </c>
      <c r="E83" s="88"/>
      <c r="F83" s="88"/>
      <c r="G83" s="88"/>
      <c r="H83" s="98" t="s">
        <v>393</v>
      </c>
      <c r="I83" s="88"/>
      <c r="J83" s="88"/>
      <c r="K83" s="98" t="s">
        <v>395</v>
      </c>
      <c r="L83" s="88"/>
      <c r="M83" s="88"/>
      <c r="N83" s="88"/>
      <c r="O83" s="88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spans="1:26" ht="15.75" customHeight="1">
      <c r="A84" s="99" t="s">
        <v>396</v>
      </c>
      <c r="B84" s="88"/>
      <c r="C84" s="88"/>
      <c r="D84" s="99" t="s">
        <v>396</v>
      </c>
      <c r="E84" s="88"/>
      <c r="F84" s="88"/>
      <c r="G84" s="88"/>
      <c r="H84" s="99" t="s">
        <v>396</v>
      </c>
      <c r="I84" s="88"/>
      <c r="J84" s="88"/>
      <c r="K84" s="99" t="s">
        <v>398</v>
      </c>
      <c r="L84" s="88"/>
      <c r="M84" s="88"/>
      <c r="N84" s="88"/>
      <c r="O84" s="88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spans="1:26" ht="15.75" customHeight="1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spans="1:26" ht="15.75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spans="1:26" ht="15.75" customHeight="1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spans="1:26" ht="15.75" customHeight="1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spans="1:26" ht="15.75" customHeight="1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spans="1:26" ht="15.75" customHeight="1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spans="1:26" ht="15.75" customHeight="1"/>
    <row r="92" spans="1:26" ht="15.75" customHeight="1"/>
    <row r="93" spans="1:26" ht="15.75" customHeight="1"/>
    <row r="94" spans="1:26" ht="15.75" customHeight="1"/>
    <row r="95" spans="1:26" ht="15.75" customHeight="1"/>
    <row r="96" spans="1:2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</sheetData>
  <mergeCells count="20">
    <mergeCell ref="A6:O6"/>
    <mergeCell ref="A8:F8"/>
    <mergeCell ref="M8:O8"/>
    <mergeCell ref="A83:C83"/>
    <mergeCell ref="A84:C84"/>
    <mergeCell ref="D84:G84"/>
    <mergeCell ref="H84:J84"/>
    <mergeCell ref="K84:O84"/>
    <mergeCell ref="G8:J8"/>
    <mergeCell ref="K8:L8"/>
    <mergeCell ref="A80:F80"/>
    <mergeCell ref="K82:O82"/>
    <mergeCell ref="D83:G83"/>
    <mergeCell ref="H83:J83"/>
    <mergeCell ref="K83:O83"/>
    <mergeCell ref="A1:F1"/>
    <mergeCell ref="L1:O1"/>
    <mergeCell ref="A2:F2"/>
    <mergeCell ref="A4:O4"/>
    <mergeCell ref="A5:O5"/>
  </mergeCells>
  <pageMargins left="0.75" right="0.75" top="0.70866141732283461" bottom="0.78740157480314954" header="0" footer="0"/>
  <pageSetup paperSize="9" scale="85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98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D10" sqref="D10"/>
    </sheetView>
  </sheetViews>
  <sheetFormatPr defaultColWidth="14.453125" defaultRowHeight="15" customHeight="1"/>
  <cols>
    <col min="1" max="1" width="6" customWidth="1"/>
    <col min="2" max="2" width="8.7265625" hidden="1" customWidth="1"/>
    <col min="3" max="3" width="29.7265625" customWidth="1"/>
    <col min="4" max="4" width="30" customWidth="1"/>
    <col min="5" max="5" width="10" customWidth="1"/>
    <col min="6" max="6" width="22" hidden="1" customWidth="1"/>
    <col min="7" max="7" width="14" hidden="1" customWidth="1"/>
    <col min="8" max="10" width="13" hidden="1" customWidth="1"/>
    <col min="11" max="13" width="16" hidden="1" customWidth="1"/>
    <col min="14" max="14" width="32" hidden="1" customWidth="1"/>
    <col min="15" max="15" width="20" customWidth="1"/>
    <col min="16" max="26" width="8.7265625" customWidth="1"/>
  </cols>
  <sheetData>
    <row r="1" spans="1:15" ht="14.5">
      <c r="A1" s="87" t="s">
        <v>0</v>
      </c>
      <c r="B1" s="88"/>
      <c r="C1" s="88"/>
      <c r="D1" s="88"/>
      <c r="E1" s="88"/>
      <c r="F1" s="88"/>
      <c r="L1" s="89" t="s">
        <v>1</v>
      </c>
      <c r="M1" s="88"/>
      <c r="N1" s="88"/>
      <c r="O1" s="88"/>
    </row>
    <row r="2" spans="1:15" ht="14.5">
      <c r="A2" s="90" t="s">
        <v>5</v>
      </c>
      <c r="B2" s="88"/>
      <c r="C2" s="88"/>
      <c r="D2" s="88"/>
      <c r="E2" s="88"/>
      <c r="F2" s="88"/>
    </row>
    <row r="3" spans="1:15" ht="14.5" hidden="1"/>
    <row r="4" spans="1:15" ht="27.75" customHeight="1">
      <c r="A4" s="91" t="s">
        <v>3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</row>
    <row r="5" spans="1:15" ht="19.5" customHeight="1">
      <c r="A5" s="92" t="s">
        <v>9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</row>
    <row r="6" spans="1:15" ht="18" hidden="1" customHeight="1">
      <c r="A6" s="93" t="s">
        <v>10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</row>
    <row r="7" spans="1:15" ht="14.5" hidden="1"/>
    <row r="8" spans="1:15" ht="24" hidden="1" customHeight="1">
      <c r="A8" s="110" t="s">
        <v>8</v>
      </c>
      <c r="B8" s="107"/>
      <c r="C8" s="107"/>
      <c r="D8" s="107"/>
      <c r="E8" s="107"/>
      <c r="F8" s="108"/>
      <c r="G8" s="106" t="s">
        <v>11</v>
      </c>
      <c r="H8" s="107"/>
      <c r="I8" s="107"/>
      <c r="J8" s="108"/>
      <c r="K8" s="109" t="s">
        <v>12</v>
      </c>
      <c r="L8" s="108"/>
      <c r="M8" s="111"/>
      <c r="N8" s="107"/>
      <c r="O8" s="108"/>
    </row>
    <row r="9" spans="1:15" ht="27.75" customHeight="1">
      <c r="A9" s="1" t="s">
        <v>13</v>
      </c>
      <c r="B9" s="1" t="s">
        <v>14</v>
      </c>
      <c r="C9" s="1" t="s">
        <v>15</v>
      </c>
      <c r="D9" s="3" t="s">
        <v>16</v>
      </c>
      <c r="E9" s="1" t="s">
        <v>17</v>
      </c>
      <c r="F9" s="1" t="s">
        <v>18</v>
      </c>
      <c r="G9" s="5" t="s">
        <v>19</v>
      </c>
      <c r="H9" s="5" t="s">
        <v>20</v>
      </c>
      <c r="I9" s="5" t="s">
        <v>21</v>
      </c>
      <c r="J9" s="5" t="s">
        <v>22</v>
      </c>
      <c r="K9" s="7" t="s">
        <v>23</v>
      </c>
      <c r="L9" s="7" t="s">
        <v>24</v>
      </c>
      <c r="M9" s="9" t="s">
        <v>25</v>
      </c>
      <c r="N9" s="9" t="s">
        <v>26</v>
      </c>
      <c r="O9" s="9" t="s">
        <v>27</v>
      </c>
    </row>
    <row r="10" spans="1:15" ht="21.75" customHeight="1">
      <c r="A10" s="11">
        <v>1</v>
      </c>
      <c r="B10" s="12">
        <v>2404</v>
      </c>
      <c r="C10" s="14" t="s">
        <v>28</v>
      </c>
      <c r="D10" s="18" t="s">
        <v>29</v>
      </c>
      <c r="E10" s="11" t="s">
        <v>31</v>
      </c>
      <c r="F10" s="20" t="s">
        <v>34</v>
      </c>
      <c r="G10" s="23">
        <v>0</v>
      </c>
      <c r="H10" s="27">
        <v>0</v>
      </c>
      <c r="I10" s="27">
        <v>0</v>
      </c>
      <c r="J10" s="27">
        <v>0</v>
      </c>
      <c r="K10" s="30"/>
      <c r="L10" s="35" t="str">
        <f t="shared" ref="L10:L171" si="0">IF(ISBLANK(K10),"",K10-G10)</f>
        <v/>
      </c>
      <c r="M10" s="36"/>
      <c r="N10" s="20" t="s">
        <v>48</v>
      </c>
      <c r="O10" s="20" t="s">
        <v>48</v>
      </c>
    </row>
    <row r="11" spans="1:15" ht="21.75" customHeight="1">
      <c r="A11" s="16">
        <v>2</v>
      </c>
      <c r="B11" s="39">
        <v>1955</v>
      </c>
      <c r="C11" s="40" t="s">
        <v>28</v>
      </c>
      <c r="D11" s="41" t="s">
        <v>53</v>
      </c>
      <c r="E11" s="16" t="s">
        <v>31</v>
      </c>
      <c r="F11" s="42" t="s">
        <v>34</v>
      </c>
      <c r="G11" s="43">
        <v>0</v>
      </c>
      <c r="H11" s="44">
        <v>0</v>
      </c>
      <c r="I11" s="44">
        <v>0</v>
      </c>
      <c r="J11" s="44">
        <v>0</v>
      </c>
      <c r="K11" s="30"/>
      <c r="L11" s="35" t="str">
        <f t="shared" si="0"/>
        <v/>
      </c>
      <c r="M11" s="36"/>
      <c r="N11" s="20" t="s">
        <v>48</v>
      </c>
      <c r="O11" s="20" t="s">
        <v>48</v>
      </c>
    </row>
    <row r="12" spans="1:15" ht="21.75" customHeight="1">
      <c r="A12" s="11">
        <v>3</v>
      </c>
      <c r="B12" s="12">
        <v>1879</v>
      </c>
      <c r="C12" s="14" t="s">
        <v>28</v>
      </c>
      <c r="D12" s="18" t="s">
        <v>59</v>
      </c>
      <c r="E12" s="11" t="s">
        <v>31</v>
      </c>
      <c r="F12" s="20" t="s">
        <v>34</v>
      </c>
      <c r="G12" s="23">
        <v>0</v>
      </c>
      <c r="H12" s="27">
        <v>0</v>
      </c>
      <c r="I12" s="27">
        <v>0</v>
      </c>
      <c r="J12" s="27">
        <v>0</v>
      </c>
      <c r="K12" s="30"/>
      <c r="L12" s="35" t="str">
        <f t="shared" si="0"/>
        <v/>
      </c>
      <c r="M12" s="36"/>
      <c r="N12" s="20" t="s">
        <v>48</v>
      </c>
      <c r="O12" s="20" t="s">
        <v>48</v>
      </c>
    </row>
    <row r="13" spans="1:15" ht="21.75" customHeight="1">
      <c r="A13" s="16">
        <v>4</v>
      </c>
      <c r="B13" s="39">
        <v>1880</v>
      </c>
      <c r="C13" s="40" t="s">
        <v>28</v>
      </c>
      <c r="D13" s="41" t="s">
        <v>64</v>
      </c>
      <c r="E13" s="16" t="s">
        <v>31</v>
      </c>
      <c r="F13" s="42" t="s">
        <v>34</v>
      </c>
      <c r="G13" s="43">
        <v>0</v>
      </c>
      <c r="H13" s="44">
        <v>0</v>
      </c>
      <c r="I13" s="44">
        <v>0</v>
      </c>
      <c r="J13" s="44">
        <v>0</v>
      </c>
      <c r="K13" s="30"/>
      <c r="L13" s="35" t="str">
        <f t="shared" si="0"/>
        <v/>
      </c>
      <c r="M13" s="36"/>
      <c r="N13" s="20" t="s">
        <v>48</v>
      </c>
      <c r="O13" s="20" t="s">
        <v>48</v>
      </c>
    </row>
    <row r="14" spans="1:15" ht="21.75" customHeight="1">
      <c r="A14" s="11">
        <v>5</v>
      </c>
      <c r="B14" s="12">
        <v>1881</v>
      </c>
      <c r="C14" s="14" t="s">
        <v>28</v>
      </c>
      <c r="D14" s="18" t="s">
        <v>70</v>
      </c>
      <c r="E14" s="11" t="s">
        <v>31</v>
      </c>
      <c r="F14" s="20" t="s">
        <v>34</v>
      </c>
      <c r="G14" s="23">
        <v>0</v>
      </c>
      <c r="H14" s="27">
        <v>0</v>
      </c>
      <c r="I14" s="27">
        <v>0</v>
      </c>
      <c r="J14" s="27">
        <v>0</v>
      </c>
      <c r="K14" s="30"/>
      <c r="L14" s="35" t="str">
        <f t="shared" si="0"/>
        <v/>
      </c>
      <c r="M14" s="36"/>
      <c r="N14" s="20" t="s">
        <v>48</v>
      </c>
      <c r="O14" s="20" t="s">
        <v>48</v>
      </c>
    </row>
    <row r="15" spans="1:15" ht="21.75" customHeight="1">
      <c r="A15" s="16">
        <v>6</v>
      </c>
      <c r="B15" s="39">
        <v>2367</v>
      </c>
      <c r="C15" s="40" t="s">
        <v>28</v>
      </c>
      <c r="D15" s="41" t="s">
        <v>77</v>
      </c>
      <c r="E15" s="16" t="s">
        <v>31</v>
      </c>
      <c r="F15" s="42" t="s">
        <v>34</v>
      </c>
      <c r="G15" s="43">
        <v>0</v>
      </c>
      <c r="H15" s="44">
        <v>0</v>
      </c>
      <c r="I15" s="44">
        <v>0</v>
      </c>
      <c r="J15" s="44">
        <v>0</v>
      </c>
      <c r="K15" s="30"/>
      <c r="L15" s="35" t="str">
        <f t="shared" si="0"/>
        <v/>
      </c>
      <c r="M15" s="36"/>
      <c r="N15" s="20" t="s">
        <v>48</v>
      </c>
      <c r="O15" s="20" t="s">
        <v>48</v>
      </c>
    </row>
    <row r="16" spans="1:15" ht="21.75" customHeight="1">
      <c r="A16" s="11">
        <v>7</v>
      </c>
      <c r="B16" s="12">
        <v>1945</v>
      </c>
      <c r="C16" s="14" t="s">
        <v>28</v>
      </c>
      <c r="D16" s="18" t="s">
        <v>82</v>
      </c>
      <c r="E16" s="11" t="s">
        <v>31</v>
      </c>
      <c r="F16" s="20" t="s">
        <v>34</v>
      </c>
      <c r="G16" s="23">
        <v>0</v>
      </c>
      <c r="H16" s="27">
        <v>0</v>
      </c>
      <c r="I16" s="27">
        <v>0</v>
      </c>
      <c r="J16" s="27">
        <v>0</v>
      </c>
      <c r="K16" s="30"/>
      <c r="L16" s="35" t="str">
        <f t="shared" si="0"/>
        <v/>
      </c>
      <c r="M16" s="36"/>
      <c r="N16" s="20" t="s">
        <v>48</v>
      </c>
      <c r="O16" s="20" t="s">
        <v>48</v>
      </c>
    </row>
    <row r="17" spans="1:15" ht="21.75" customHeight="1">
      <c r="A17" s="16">
        <v>8</v>
      </c>
      <c r="B17" s="39">
        <v>1944</v>
      </c>
      <c r="C17" s="40" t="s">
        <v>28</v>
      </c>
      <c r="D17" s="41" t="s">
        <v>86</v>
      </c>
      <c r="E17" s="16" t="s">
        <v>31</v>
      </c>
      <c r="F17" s="42" t="s">
        <v>34</v>
      </c>
      <c r="G17" s="43">
        <v>0</v>
      </c>
      <c r="H17" s="44">
        <v>0</v>
      </c>
      <c r="I17" s="44">
        <v>0</v>
      </c>
      <c r="J17" s="44">
        <v>0</v>
      </c>
      <c r="K17" s="30"/>
      <c r="L17" s="35" t="str">
        <f t="shared" si="0"/>
        <v/>
      </c>
      <c r="M17" s="36"/>
      <c r="N17" s="20" t="s">
        <v>48</v>
      </c>
      <c r="O17" s="20" t="s">
        <v>48</v>
      </c>
    </row>
    <row r="18" spans="1:15" ht="21.75" customHeight="1">
      <c r="A18" s="11">
        <v>9</v>
      </c>
      <c r="B18" s="12">
        <v>1943</v>
      </c>
      <c r="C18" s="14" t="s">
        <v>28</v>
      </c>
      <c r="D18" s="18" t="s">
        <v>91</v>
      </c>
      <c r="E18" s="11" t="s">
        <v>31</v>
      </c>
      <c r="F18" s="20" t="s">
        <v>34</v>
      </c>
      <c r="G18" s="23">
        <v>0</v>
      </c>
      <c r="H18" s="27">
        <v>0</v>
      </c>
      <c r="I18" s="27">
        <v>0</v>
      </c>
      <c r="J18" s="27">
        <v>0</v>
      </c>
      <c r="K18" s="30"/>
      <c r="L18" s="35" t="str">
        <f t="shared" si="0"/>
        <v/>
      </c>
      <c r="M18" s="36"/>
      <c r="N18" s="20" t="s">
        <v>48</v>
      </c>
      <c r="O18" s="20" t="s">
        <v>48</v>
      </c>
    </row>
    <row r="19" spans="1:15" ht="21.75" customHeight="1">
      <c r="A19" s="16">
        <v>10</v>
      </c>
      <c r="B19" s="39">
        <v>1956</v>
      </c>
      <c r="C19" s="40" t="s">
        <v>28</v>
      </c>
      <c r="D19" s="41" t="s">
        <v>96</v>
      </c>
      <c r="E19" s="16" t="s">
        <v>31</v>
      </c>
      <c r="F19" s="42" t="s">
        <v>34</v>
      </c>
      <c r="G19" s="43">
        <v>0</v>
      </c>
      <c r="H19" s="44">
        <v>0</v>
      </c>
      <c r="I19" s="44">
        <v>0</v>
      </c>
      <c r="J19" s="44">
        <v>0</v>
      </c>
      <c r="K19" s="30"/>
      <c r="L19" s="35" t="str">
        <f t="shared" si="0"/>
        <v/>
      </c>
      <c r="M19" s="36"/>
      <c r="N19" s="20" t="s">
        <v>48</v>
      </c>
      <c r="O19" s="20" t="s">
        <v>48</v>
      </c>
    </row>
    <row r="20" spans="1:15" ht="21.75" customHeight="1">
      <c r="A20" s="11">
        <v>11</v>
      </c>
      <c r="B20" s="12">
        <v>1954</v>
      </c>
      <c r="C20" s="14" t="s">
        <v>28</v>
      </c>
      <c r="D20" s="18" t="s">
        <v>102</v>
      </c>
      <c r="E20" s="11" t="s">
        <v>31</v>
      </c>
      <c r="F20" s="20" t="s">
        <v>34</v>
      </c>
      <c r="G20" s="23">
        <v>0</v>
      </c>
      <c r="H20" s="27">
        <v>1</v>
      </c>
      <c r="I20" s="27">
        <v>0</v>
      </c>
      <c r="J20" s="27">
        <v>0</v>
      </c>
      <c r="K20" s="30"/>
      <c r="L20" s="35" t="str">
        <f t="shared" si="0"/>
        <v/>
      </c>
      <c r="M20" s="36"/>
      <c r="N20" s="20" t="s">
        <v>48</v>
      </c>
      <c r="O20" s="20" t="s">
        <v>48</v>
      </c>
    </row>
    <row r="21" spans="1:15" ht="21.75" customHeight="1">
      <c r="A21" s="16">
        <v>12</v>
      </c>
      <c r="B21" s="39">
        <v>1970</v>
      </c>
      <c r="C21" s="40" t="s">
        <v>28</v>
      </c>
      <c r="D21" s="41" t="s">
        <v>107</v>
      </c>
      <c r="E21" s="16" t="s">
        <v>31</v>
      </c>
      <c r="F21" s="42" t="s">
        <v>34</v>
      </c>
      <c r="G21" s="43">
        <v>0</v>
      </c>
      <c r="H21" s="44">
        <v>0</v>
      </c>
      <c r="I21" s="44">
        <v>0</v>
      </c>
      <c r="J21" s="44">
        <v>0</v>
      </c>
      <c r="K21" s="30"/>
      <c r="L21" s="35" t="str">
        <f t="shared" si="0"/>
        <v/>
      </c>
      <c r="M21" s="36"/>
      <c r="N21" s="20" t="s">
        <v>48</v>
      </c>
      <c r="O21" s="20" t="s">
        <v>48</v>
      </c>
    </row>
    <row r="22" spans="1:15" ht="21.75" customHeight="1">
      <c r="A22" s="11">
        <v>13</v>
      </c>
      <c r="B22" s="12">
        <v>1971</v>
      </c>
      <c r="C22" s="14" t="s">
        <v>28</v>
      </c>
      <c r="D22" s="18" t="s">
        <v>113</v>
      </c>
      <c r="E22" s="11" t="s">
        <v>31</v>
      </c>
      <c r="F22" s="20" t="s">
        <v>34</v>
      </c>
      <c r="G22" s="23">
        <v>0</v>
      </c>
      <c r="H22" s="27">
        <v>0</v>
      </c>
      <c r="I22" s="27">
        <v>0</v>
      </c>
      <c r="J22" s="27">
        <v>0</v>
      </c>
      <c r="K22" s="30"/>
      <c r="L22" s="35" t="str">
        <f t="shared" si="0"/>
        <v/>
      </c>
      <c r="M22" s="36"/>
      <c r="N22" s="20" t="s">
        <v>48</v>
      </c>
      <c r="O22" s="20" t="s">
        <v>48</v>
      </c>
    </row>
    <row r="23" spans="1:15" ht="21.75" customHeight="1">
      <c r="A23" s="16">
        <v>14</v>
      </c>
      <c r="B23" s="39">
        <v>1963</v>
      </c>
      <c r="C23" s="40" t="s">
        <v>28</v>
      </c>
      <c r="D23" s="41" t="s">
        <v>116</v>
      </c>
      <c r="E23" s="16" t="s">
        <v>31</v>
      </c>
      <c r="F23" s="42" t="s">
        <v>34</v>
      </c>
      <c r="G23" s="43">
        <v>0</v>
      </c>
      <c r="H23" s="44">
        <v>0</v>
      </c>
      <c r="I23" s="44">
        <v>0</v>
      </c>
      <c r="J23" s="44">
        <v>0</v>
      </c>
      <c r="K23" s="30"/>
      <c r="L23" s="35" t="str">
        <f t="shared" si="0"/>
        <v/>
      </c>
      <c r="M23" s="36"/>
      <c r="N23" s="20" t="s">
        <v>48</v>
      </c>
      <c r="O23" s="20" t="s">
        <v>48</v>
      </c>
    </row>
    <row r="24" spans="1:15" ht="21.75" customHeight="1">
      <c r="A24" s="11">
        <v>15</v>
      </c>
      <c r="B24" s="12">
        <v>1937</v>
      </c>
      <c r="C24" s="14" t="s">
        <v>28</v>
      </c>
      <c r="D24" s="18" t="s">
        <v>121</v>
      </c>
      <c r="E24" s="11" t="s">
        <v>31</v>
      </c>
      <c r="F24" s="20" t="s">
        <v>34</v>
      </c>
      <c r="G24" s="23">
        <v>0</v>
      </c>
      <c r="H24" s="27">
        <v>0</v>
      </c>
      <c r="I24" s="27">
        <v>0</v>
      </c>
      <c r="J24" s="27">
        <v>0</v>
      </c>
      <c r="K24" s="30"/>
      <c r="L24" s="35" t="str">
        <f t="shared" si="0"/>
        <v/>
      </c>
      <c r="M24" s="36"/>
      <c r="N24" s="20" t="s">
        <v>48</v>
      </c>
      <c r="O24" s="20" t="s">
        <v>48</v>
      </c>
    </row>
    <row r="25" spans="1:15" ht="21.75" customHeight="1">
      <c r="A25" s="16">
        <v>16</v>
      </c>
      <c r="B25" s="39">
        <v>2365</v>
      </c>
      <c r="C25" s="40" t="s">
        <v>28</v>
      </c>
      <c r="D25" s="41" t="s">
        <v>126</v>
      </c>
      <c r="E25" s="16" t="s">
        <v>31</v>
      </c>
      <c r="F25" s="42" t="s">
        <v>34</v>
      </c>
      <c r="G25" s="43">
        <v>0</v>
      </c>
      <c r="H25" s="44">
        <v>0</v>
      </c>
      <c r="I25" s="44">
        <v>0</v>
      </c>
      <c r="J25" s="44">
        <v>0</v>
      </c>
      <c r="K25" s="30"/>
      <c r="L25" s="35" t="str">
        <f t="shared" si="0"/>
        <v/>
      </c>
      <c r="M25" s="36"/>
      <c r="N25" s="20" t="s">
        <v>48</v>
      </c>
      <c r="O25" s="20" t="s">
        <v>48</v>
      </c>
    </row>
    <row r="26" spans="1:15" ht="21.75" customHeight="1">
      <c r="A26" s="11">
        <v>17</v>
      </c>
      <c r="B26" s="12">
        <v>2366</v>
      </c>
      <c r="C26" s="14" t="s">
        <v>28</v>
      </c>
      <c r="D26" s="18" t="s">
        <v>132</v>
      </c>
      <c r="E26" s="11" t="s">
        <v>31</v>
      </c>
      <c r="F26" s="20" t="s">
        <v>34</v>
      </c>
      <c r="G26" s="23">
        <v>0</v>
      </c>
      <c r="H26" s="27">
        <v>0</v>
      </c>
      <c r="I26" s="27">
        <v>0</v>
      </c>
      <c r="J26" s="27">
        <v>0</v>
      </c>
      <c r="K26" s="30"/>
      <c r="L26" s="35" t="str">
        <f t="shared" si="0"/>
        <v/>
      </c>
      <c r="M26" s="36"/>
      <c r="N26" s="20" t="s">
        <v>48</v>
      </c>
      <c r="O26" s="20" t="s">
        <v>48</v>
      </c>
    </row>
    <row r="27" spans="1:15" ht="21.75" customHeight="1">
      <c r="A27" s="16">
        <v>18</v>
      </c>
      <c r="B27" s="39">
        <v>1949</v>
      </c>
      <c r="C27" s="40" t="s">
        <v>28</v>
      </c>
      <c r="D27" s="41" t="s">
        <v>139</v>
      </c>
      <c r="E27" s="16" t="s">
        <v>31</v>
      </c>
      <c r="F27" s="42" t="s">
        <v>34</v>
      </c>
      <c r="G27" s="43">
        <v>0</v>
      </c>
      <c r="H27" s="44">
        <v>0</v>
      </c>
      <c r="I27" s="44">
        <v>0</v>
      </c>
      <c r="J27" s="44">
        <v>0</v>
      </c>
      <c r="K27" s="30"/>
      <c r="L27" s="35" t="str">
        <f t="shared" si="0"/>
        <v/>
      </c>
      <c r="M27" s="36"/>
      <c r="N27" s="20" t="s">
        <v>48</v>
      </c>
      <c r="O27" s="20" t="s">
        <v>48</v>
      </c>
    </row>
    <row r="28" spans="1:15" ht="21.75" customHeight="1">
      <c r="A28" s="11">
        <v>19</v>
      </c>
      <c r="B28" s="12">
        <v>1941</v>
      </c>
      <c r="C28" s="14" t="s">
        <v>28</v>
      </c>
      <c r="D28" s="18" t="s">
        <v>143</v>
      </c>
      <c r="E28" s="11" t="s">
        <v>31</v>
      </c>
      <c r="F28" s="20" t="s">
        <v>34</v>
      </c>
      <c r="G28" s="23">
        <v>0</v>
      </c>
      <c r="H28" s="27">
        <v>0</v>
      </c>
      <c r="I28" s="27">
        <v>0</v>
      </c>
      <c r="J28" s="27">
        <v>0</v>
      </c>
      <c r="K28" s="30"/>
      <c r="L28" s="35" t="str">
        <f t="shared" si="0"/>
        <v/>
      </c>
      <c r="M28" s="36"/>
      <c r="N28" s="20" t="s">
        <v>48</v>
      </c>
      <c r="O28" s="20" t="s">
        <v>48</v>
      </c>
    </row>
    <row r="29" spans="1:15" ht="21.75" customHeight="1">
      <c r="A29" s="16">
        <v>20</v>
      </c>
      <c r="B29" s="39">
        <v>1942</v>
      </c>
      <c r="C29" s="40" t="s">
        <v>28</v>
      </c>
      <c r="D29" s="41" t="s">
        <v>150</v>
      </c>
      <c r="E29" s="16" t="s">
        <v>31</v>
      </c>
      <c r="F29" s="42" t="s">
        <v>34</v>
      </c>
      <c r="G29" s="43">
        <v>0</v>
      </c>
      <c r="H29" s="44">
        <v>0</v>
      </c>
      <c r="I29" s="44">
        <v>0</v>
      </c>
      <c r="J29" s="44">
        <v>0</v>
      </c>
      <c r="K29" s="30"/>
      <c r="L29" s="35" t="str">
        <f t="shared" si="0"/>
        <v/>
      </c>
      <c r="M29" s="36"/>
      <c r="N29" s="20" t="s">
        <v>48</v>
      </c>
      <c r="O29" s="20" t="s">
        <v>48</v>
      </c>
    </row>
    <row r="30" spans="1:15" ht="21.75" customHeight="1">
      <c r="A30" s="11">
        <v>21</v>
      </c>
      <c r="B30" s="12">
        <v>2373</v>
      </c>
      <c r="C30" s="14" t="s">
        <v>28</v>
      </c>
      <c r="D30" s="18" t="s">
        <v>157</v>
      </c>
      <c r="E30" s="11" t="s">
        <v>31</v>
      </c>
      <c r="F30" s="20" t="s">
        <v>34</v>
      </c>
      <c r="G30" s="23">
        <v>0</v>
      </c>
      <c r="H30" s="27">
        <v>0</v>
      </c>
      <c r="I30" s="27">
        <v>0</v>
      </c>
      <c r="J30" s="27">
        <v>0</v>
      </c>
      <c r="K30" s="30"/>
      <c r="L30" s="35" t="str">
        <f t="shared" si="0"/>
        <v/>
      </c>
      <c r="M30" s="36"/>
      <c r="N30" s="20" t="s">
        <v>48</v>
      </c>
      <c r="O30" s="20" t="s">
        <v>48</v>
      </c>
    </row>
    <row r="31" spans="1:15" ht="21.75" customHeight="1">
      <c r="A31" s="16">
        <v>22</v>
      </c>
      <c r="B31" s="39">
        <v>2374</v>
      </c>
      <c r="C31" s="40" t="s">
        <v>28</v>
      </c>
      <c r="D31" s="41" t="s">
        <v>165</v>
      </c>
      <c r="E31" s="16" t="s">
        <v>31</v>
      </c>
      <c r="F31" s="42" t="s">
        <v>34</v>
      </c>
      <c r="G31" s="43">
        <v>0</v>
      </c>
      <c r="H31" s="44">
        <v>0</v>
      </c>
      <c r="I31" s="44">
        <v>0</v>
      </c>
      <c r="J31" s="44">
        <v>0</v>
      </c>
      <c r="K31" s="30"/>
      <c r="L31" s="35" t="str">
        <f t="shared" si="0"/>
        <v/>
      </c>
      <c r="M31" s="36"/>
      <c r="N31" s="20" t="s">
        <v>48</v>
      </c>
      <c r="O31" s="20" t="s">
        <v>48</v>
      </c>
    </row>
    <row r="32" spans="1:15" ht="21.75" customHeight="1">
      <c r="A32" s="11">
        <v>23</v>
      </c>
      <c r="B32" s="12">
        <v>2370</v>
      </c>
      <c r="C32" s="14" t="s">
        <v>28</v>
      </c>
      <c r="D32" s="18" t="s">
        <v>172</v>
      </c>
      <c r="E32" s="11" t="s">
        <v>31</v>
      </c>
      <c r="F32" s="20" t="s">
        <v>34</v>
      </c>
      <c r="G32" s="23">
        <v>0</v>
      </c>
      <c r="H32" s="27">
        <v>0</v>
      </c>
      <c r="I32" s="27">
        <v>0</v>
      </c>
      <c r="J32" s="27">
        <v>0</v>
      </c>
      <c r="K32" s="30"/>
      <c r="L32" s="35" t="str">
        <f t="shared" si="0"/>
        <v/>
      </c>
      <c r="M32" s="36"/>
      <c r="N32" s="20" t="s">
        <v>48</v>
      </c>
      <c r="O32" s="20" t="s">
        <v>48</v>
      </c>
    </row>
    <row r="33" spans="1:15" ht="21.75" customHeight="1">
      <c r="A33" s="16">
        <v>24</v>
      </c>
      <c r="B33" s="39">
        <v>2371</v>
      </c>
      <c r="C33" s="40" t="s">
        <v>28</v>
      </c>
      <c r="D33" s="41" t="s">
        <v>181</v>
      </c>
      <c r="E33" s="16" t="s">
        <v>31</v>
      </c>
      <c r="F33" s="42" t="s">
        <v>34</v>
      </c>
      <c r="G33" s="43">
        <v>0</v>
      </c>
      <c r="H33" s="44">
        <v>0</v>
      </c>
      <c r="I33" s="44">
        <v>0</v>
      </c>
      <c r="J33" s="44">
        <v>0</v>
      </c>
      <c r="K33" s="30"/>
      <c r="L33" s="35" t="str">
        <f t="shared" si="0"/>
        <v/>
      </c>
      <c r="M33" s="36"/>
      <c r="N33" s="20" t="s">
        <v>48</v>
      </c>
      <c r="O33" s="20" t="s">
        <v>48</v>
      </c>
    </row>
    <row r="34" spans="1:15" ht="21.75" customHeight="1">
      <c r="A34" s="11">
        <v>25</v>
      </c>
      <c r="B34" s="12">
        <v>2372</v>
      </c>
      <c r="C34" s="14" t="s">
        <v>28</v>
      </c>
      <c r="D34" s="18" t="s">
        <v>185</v>
      </c>
      <c r="E34" s="11" t="s">
        <v>31</v>
      </c>
      <c r="F34" s="20" t="s">
        <v>34</v>
      </c>
      <c r="G34" s="23">
        <v>0</v>
      </c>
      <c r="H34" s="27">
        <v>0</v>
      </c>
      <c r="I34" s="27">
        <v>0</v>
      </c>
      <c r="J34" s="27">
        <v>0</v>
      </c>
      <c r="K34" s="30"/>
      <c r="L34" s="35" t="str">
        <f t="shared" si="0"/>
        <v/>
      </c>
      <c r="M34" s="36"/>
      <c r="N34" s="20" t="s">
        <v>48</v>
      </c>
      <c r="O34" s="20" t="s">
        <v>48</v>
      </c>
    </row>
    <row r="35" spans="1:15" ht="21.75" customHeight="1">
      <c r="A35" s="16">
        <v>26</v>
      </c>
      <c r="B35" s="39">
        <v>1892</v>
      </c>
      <c r="C35" s="40" t="s">
        <v>28</v>
      </c>
      <c r="D35" s="41" t="s">
        <v>190</v>
      </c>
      <c r="E35" s="16" t="s">
        <v>31</v>
      </c>
      <c r="F35" s="42" t="s">
        <v>34</v>
      </c>
      <c r="G35" s="43">
        <v>0</v>
      </c>
      <c r="H35" s="44">
        <v>0</v>
      </c>
      <c r="I35" s="44">
        <v>0</v>
      </c>
      <c r="J35" s="44">
        <v>0</v>
      </c>
      <c r="K35" s="30"/>
      <c r="L35" s="35" t="str">
        <f t="shared" si="0"/>
        <v/>
      </c>
      <c r="M35" s="36"/>
      <c r="N35" s="20" t="s">
        <v>48</v>
      </c>
      <c r="O35" s="20" t="s">
        <v>48</v>
      </c>
    </row>
    <row r="36" spans="1:15" ht="21.75" customHeight="1">
      <c r="A36" s="11">
        <v>27</v>
      </c>
      <c r="B36" s="12">
        <v>1893</v>
      </c>
      <c r="C36" s="14" t="s">
        <v>28</v>
      </c>
      <c r="D36" s="18" t="s">
        <v>195</v>
      </c>
      <c r="E36" s="11" t="s">
        <v>31</v>
      </c>
      <c r="F36" s="20" t="s">
        <v>34</v>
      </c>
      <c r="G36" s="23">
        <v>0</v>
      </c>
      <c r="H36" s="27">
        <v>0</v>
      </c>
      <c r="I36" s="27">
        <v>0</v>
      </c>
      <c r="J36" s="27">
        <v>0</v>
      </c>
      <c r="K36" s="30"/>
      <c r="L36" s="35" t="str">
        <f t="shared" si="0"/>
        <v/>
      </c>
      <c r="M36" s="36"/>
      <c r="N36" s="20" t="s">
        <v>48</v>
      </c>
      <c r="O36" s="20" t="s">
        <v>48</v>
      </c>
    </row>
    <row r="37" spans="1:15" ht="21.75" customHeight="1">
      <c r="A37" s="16">
        <v>28</v>
      </c>
      <c r="B37" s="39">
        <v>1894</v>
      </c>
      <c r="C37" s="40" t="s">
        <v>28</v>
      </c>
      <c r="D37" s="41" t="s">
        <v>197</v>
      </c>
      <c r="E37" s="16" t="s">
        <v>31</v>
      </c>
      <c r="F37" s="42" t="s">
        <v>34</v>
      </c>
      <c r="G37" s="43">
        <v>0</v>
      </c>
      <c r="H37" s="44">
        <v>0</v>
      </c>
      <c r="I37" s="44">
        <v>0</v>
      </c>
      <c r="J37" s="44">
        <v>0</v>
      </c>
      <c r="K37" s="30"/>
      <c r="L37" s="35" t="str">
        <f t="shared" si="0"/>
        <v/>
      </c>
      <c r="M37" s="36"/>
      <c r="N37" s="20" t="s">
        <v>48</v>
      </c>
      <c r="O37" s="20" t="s">
        <v>48</v>
      </c>
    </row>
    <row r="38" spans="1:15" ht="21.75" customHeight="1">
      <c r="A38" s="11">
        <v>29</v>
      </c>
      <c r="B38" s="12">
        <v>2413</v>
      </c>
      <c r="C38" s="14" t="s">
        <v>28</v>
      </c>
      <c r="D38" s="18" t="s">
        <v>200</v>
      </c>
      <c r="E38" s="11" t="s">
        <v>31</v>
      </c>
      <c r="F38" s="20" t="s">
        <v>34</v>
      </c>
      <c r="G38" s="23">
        <v>0</v>
      </c>
      <c r="H38" s="27">
        <v>0</v>
      </c>
      <c r="I38" s="27">
        <v>0</v>
      </c>
      <c r="J38" s="27">
        <v>0</v>
      </c>
      <c r="K38" s="30"/>
      <c r="L38" s="35" t="str">
        <f t="shared" si="0"/>
        <v/>
      </c>
      <c r="M38" s="36"/>
      <c r="N38" s="20" t="s">
        <v>48</v>
      </c>
      <c r="O38" s="20" t="s">
        <v>48</v>
      </c>
    </row>
    <row r="39" spans="1:15" ht="21.75" customHeight="1">
      <c r="A39" s="16">
        <v>30</v>
      </c>
      <c r="B39" s="39">
        <v>2385</v>
      </c>
      <c r="C39" s="40" t="s">
        <v>28</v>
      </c>
      <c r="D39" s="41" t="s">
        <v>202</v>
      </c>
      <c r="E39" s="16" t="s">
        <v>31</v>
      </c>
      <c r="F39" s="42" t="s">
        <v>34</v>
      </c>
      <c r="G39" s="43">
        <v>0</v>
      </c>
      <c r="H39" s="44">
        <v>0</v>
      </c>
      <c r="I39" s="44">
        <v>0</v>
      </c>
      <c r="J39" s="44">
        <v>0</v>
      </c>
      <c r="K39" s="30"/>
      <c r="L39" s="35" t="str">
        <f t="shared" si="0"/>
        <v/>
      </c>
      <c r="M39" s="36"/>
      <c r="N39" s="20" t="s">
        <v>48</v>
      </c>
      <c r="O39" s="20" t="s">
        <v>48</v>
      </c>
    </row>
    <row r="40" spans="1:15" ht="21.75" customHeight="1">
      <c r="A40" s="11">
        <v>31</v>
      </c>
      <c r="B40" s="12">
        <v>1895</v>
      </c>
      <c r="C40" s="14" t="s">
        <v>28</v>
      </c>
      <c r="D40" s="18" t="s">
        <v>206</v>
      </c>
      <c r="E40" s="11" t="s">
        <v>31</v>
      </c>
      <c r="F40" s="20" t="s">
        <v>34</v>
      </c>
      <c r="G40" s="23">
        <v>0</v>
      </c>
      <c r="H40" s="27">
        <v>0</v>
      </c>
      <c r="I40" s="27">
        <v>0</v>
      </c>
      <c r="J40" s="27">
        <v>0</v>
      </c>
      <c r="K40" s="30"/>
      <c r="L40" s="35" t="str">
        <f t="shared" si="0"/>
        <v/>
      </c>
      <c r="M40" s="36"/>
      <c r="N40" s="20" t="s">
        <v>48</v>
      </c>
      <c r="O40" s="20" t="s">
        <v>48</v>
      </c>
    </row>
    <row r="41" spans="1:15" ht="21.75" customHeight="1">
      <c r="A41" s="16">
        <v>32</v>
      </c>
      <c r="B41" s="39">
        <v>1934</v>
      </c>
      <c r="C41" s="40" t="s">
        <v>28</v>
      </c>
      <c r="D41" s="41" t="s">
        <v>210</v>
      </c>
      <c r="E41" s="16" t="s">
        <v>31</v>
      </c>
      <c r="F41" s="42" t="s">
        <v>34</v>
      </c>
      <c r="G41" s="43">
        <v>0</v>
      </c>
      <c r="H41" s="44">
        <v>0</v>
      </c>
      <c r="I41" s="44">
        <v>0</v>
      </c>
      <c r="J41" s="44">
        <v>0</v>
      </c>
      <c r="K41" s="30"/>
      <c r="L41" s="35" t="str">
        <f t="shared" si="0"/>
        <v/>
      </c>
      <c r="M41" s="36"/>
      <c r="N41" s="20" t="s">
        <v>48</v>
      </c>
      <c r="O41" s="20" t="s">
        <v>48</v>
      </c>
    </row>
    <row r="42" spans="1:15" ht="21.75" customHeight="1">
      <c r="A42" s="11">
        <v>33</v>
      </c>
      <c r="B42" s="12">
        <v>1939</v>
      </c>
      <c r="C42" s="14" t="s">
        <v>28</v>
      </c>
      <c r="D42" s="18" t="s">
        <v>214</v>
      </c>
      <c r="E42" s="11" t="s">
        <v>31</v>
      </c>
      <c r="F42" s="20" t="s">
        <v>34</v>
      </c>
      <c r="G42" s="23">
        <v>0</v>
      </c>
      <c r="H42" s="27">
        <v>0</v>
      </c>
      <c r="I42" s="27">
        <v>0</v>
      </c>
      <c r="J42" s="27">
        <v>0</v>
      </c>
      <c r="K42" s="30"/>
      <c r="L42" s="35" t="str">
        <f t="shared" si="0"/>
        <v/>
      </c>
      <c r="M42" s="36"/>
      <c r="N42" s="20" t="s">
        <v>48</v>
      </c>
      <c r="O42" s="20" t="s">
        <v>48</v>
      </c>
    </row>
    <row r="43" spans="1:15" ht="21.75" customHeight="1">
      <c r="A43" s="16">
        <v>34</v>
      </c>
      <c r="B43" s="39">
        <v>1938</v>
      </c>
      <c r="C43" s="40" t="s">
        <v>28</v>
      </c>
      <c r="D43" s="41" t="s">
        <v>217</v>
      </c>
      <c r="E43" s="16" t="s">
        <v>31</v>
      </c>
      <c r="F43" s="42" t="s">
        <v>34</v>
      </c>
      <c r="G43" s="43">
        <v>0</v>
      </c>
      <c r="H43" s="44">
        <v>0</v>
      </c>
      <c r="I43" s="44">
        <v>0</v>
      </c>
      <c r="J43" s="44">
        <v>0</v>
      </c>
      <c r="K43" s="30"/>
      <c r="L43" s="35" t="str">
        <f t="shared" si="0"/>
        <v/>
      </c>
      <c r="M43" s="36"/>
      <c r="N43" s="20" t="s">
        <v>48</v>
      </c>
      <c r="O43" s="20" t="s">
        <v>48</v>
      </c>
    </row>
    <row r="44" spans="1:15" ht="21.75" customHeight="1">
      <c r="A44" s="11">
        <v>35</v>
      </c>
      <c r="B44" s="12">
        <v>1940</v>
      </c>
      <c r="C44" s="14" t="s">
        <v>28</v>
      </c>
      <c r="D44" s="18" t="s">
        <v>221</v>
      </c>
      <c r="E44" s="11" t="s">
        <v>31</v>
      </c>
      <c r="F44" s="20" t="s">
        <v>34</v>
      </c>
      <c r="G44" s="23">
        <v>0</v>
      </c>
      <c r="H44" s="27">
        <v>0</v>
      </c>
      <c r="I44" s="27">
        <v>0</v>
      </c>
      <c r="J44" s="27">
        <v>0</v>
      </c>
      <c r="K44" s="30"/>
      <c r="L44" s="35" t="str">
        <f t="shared" si="0"/>
        <v/>
      </c>
      <c r="M44" s="36"/>
      <c r="N44" s="20" t="s">
        <v>48</v>
      </c>
      <c r="O44" s="20" t="s">
        <v>48</v>
      </c>
    </row>
    <row r="45" spans="1:15" ht="21.75" customHeight="1">
      <c r="A45" s="16">
        <v>36</v>
      </c>
      <c r="B45" s="39">
        <v>2408</v>
      </c>
      <c r="C45" s="40" t="s">
        <v>28</v>
      </c>
      <c r="D45" s="41" t="s">
        <v>223</v>
      </c>
      <c r="E45" s="16" t="s">
        <v>31</v>
      </c>
      <c r="F45" s="42" t="s">
        <v>34</v>
      </c>
      <c r="G45" s="43">
        <v>0</v>
      </c>
      <c r="H45" s="44">
        <v>0</v>
      </c>
      <c r="I45" s="44">
        <v>0</v>
      </c>
      <c r="J45" s="44">
        <v>0</v>
      </c>
      <c r="K45" s="30"/>
      <c r="L45" s="35" t="str">
        <f t="shared" si="0"/>
        <v/>
      </c>
      <c r="M45" s="36"/>
      <c r="N45" s="20" t="s">
        <v>48</v>
      </c>
      <c r="O45" s="20" t="s">
        <v>48</v>
      </c>
    </row>
    <row r="46" spans="1:15" ht="21.75" customHeight="1">
      <c r="A46" s="11">
        <v>37</v>
      </c>
      <c r="B46" s="12">
        <v>2409</v>
      </c>
      <c r="C46" s="14" t="s">
        <v>226</v>
      </c>
      <c r="D46" s="18" t="s">
        <v>227</v>
      </c>
      <c r="E46" s="11" t="s">
        <v>31</v>
      </c>
      <c r="F46" s="20" t="s">
        <v>34</v>
      </c>
      <c r="G46" s="23">
        <v>0</v>
      </c>
      <c r="H46" s="27">
        <v>0</v>
      </c>
      <c r="I46" s="27">
        <v>0</v>
      </c>
      <c r="J46" s="27">
        <v>0</v>
      </c>
      <c r="K46" s="30"/>
      <c r="L46" s="35" t="str">
        <f t="shared" si="0"/>
        <v/>
      </c>
      <c r="M46" s="36"/>
      <c r="N46" s="20" t="s">
        <v>48</v>
      </c>
      <c r="O46" s="20" t="s">
        <v>48</v>
      </c>
    </row>
    <row r="47" spans="1:15" ht="21.75" customHeight="1">
      <c r="A47" s="16">
        <v>38</v>
      </c>
      <c r="B47" s="39">
        <v>2410</v>
      </c>
      <c r="C47" s="40" t="s">
        <v>226</v>
      </c>
      <c r="D47" s="41" t="s">
        <v>232</v>
      </c>
      <c r="E47" s="16" t="s">
        <v>31</v>
      </c>
      <c r="F47" s="42" t="s">
        <v>34</v>
      </c>
      <c r="G47" s="43">
        <v>0</v>
      </c>
      <c r="H47" s="44">
        <v>0</v>
      </c>
      <c r="I47" s="44">
        <v>0</v>
      </c>
      <c r="J47" s="44">
        <v>0</v>
      </c>
      <c r="K47" s="30"/>
      <c r="L47" s="35" t="str">
        <f t="shared" si="0"/>
        <v/>
      </c>
      <c r="M47" s="36"/>
      <c r="N47" s="20" t="s">
        <v>48</v>
      </c>
      <c r="O47" s="20" t="s">
        <v>48</v>
      </c>
    </row>
    <row r="48" spans="1:15" ht="21.75" customHeight="1">
      <c r="A48" s="11">
        <v>39</v>
      </c>
      <c r="B48" s="12">
        <v>2411</v>
      </c>
      <c r="C48" s="14" t="s">
        <v>236</v>
      </c>
      <c r="D48" s="18" t="s">
        <v>237</v>
      </c>
      <c r="E48" s="11" t="s">
        <v>31</v>
      </c>
      <c r="F48" s="20" t="s">
        <v>34</v>
      </c>
      <c r="G48" s="23">
        <v>0</v>
      </c>
      <c r="H48" s="27">
        <v>0</v>
      </c>
      <c r="I48" s="27">
        <v>0</v>
      </c>
      <c r="J48" s="27">
        <v>0</v>
      </c>
      <c r="K48" s="30"/>
      <c r="L48" s="35" t="str">
        <f t="shared" si="0"/>
        <v/>
      </c>
      <c r="M48" s="36"/>
      <c r="N48" s="20" t="s">
        <v>48</v>
      </c>
      <c r="O48" s="20" t="s">
        <v>48</v>
      </c>
    </row>
    <row r="49" spans="1:15" ht="21.75" customHeight="1">
      <c r="A49" s="16">
        <v>40</v>
      </c>
      <c r="B49" s="39">
        <v>1935</v>
      </c>
      <c r="C49" s="40" t="s">
        <v>241</v>
      </c>
      <c r="D49" s="41" t="s">
        <v>157</v>
      </c>
      <c r="E49" s="16" t="s">
        <v>31</v>
      </c>
      <c r="F49" s="42" t="s">
        <v>34</v>
      </c>
      <c r="G49" s="43">
        <v>0</v>
      </c>
      <c r="H49" s="44">
        <v>0</v>
      </c>
      <c r="I49" s="44">
        <v>0</v>
      </c>
      <c r="J49" s="44">
        <v>0</v>
      </c>
      <c r="K49" s="30"/>
      <c r="L49" s="35" t="str">
        <f t="shared" si="0"/>
        <v/>
      </c>
      <c r="M49" s="36"/>
      <c r="N49" s="20" t="s">
        <v>48</v>
      </c>
      <c r="O49" s="20" t="s">
        <v>48</v>
      </c>
    </row>
    <row r="50" spans="1:15" ht="21.75" customHeight="1">
      <c r="A50" s="11">
        <v>41</v>
      </c>
      <c r="B50" s="12">
        <v>1936</v>
      </c>
      <c r="C50" s="14" t="s">
        <v>241</v>
      </c>
      <c r="D50" s="18" t="s">
        <v>244</v>
      </c>
      <c r="E50" s="11" t="s">
        <v>31</v>
      </c>
      <c r="F50" s="20" t="s">
        <v>34</v>
      </c>
      <c r="G50" s="23">
        <v>0</v>
      </c>
      <c r="H50" s="27">
        <v>0</v>
      </c>
      <c r="I50" s="27">
        <v>0</v>
      </c>
      <c r="J50" s="27">
        <v>0</v>
      </c>
      <c r="K50" s="30"/>
      <c r="L50" s="35" t="str">
        <f t="shared" si="0"/>
        <v/>
      </c>
      <c r="M50" s="36"/>
      <c r="N50" s="20" t="s">
        <v>48</v>
      </c>
      <c r="O50" s="20" t="s">
        <v>48</v>
      </c>
    </row>
    <row r="51" spans="1:15" ht="21.75" customHeight="1">
      <c r="A51" s="16">
        <v>42</v>
      </c>
      <c r="B51" s="39">
        <v>2403</v>
      </c>
      <c r="C51" s="40" t="s">
        <v>241</v>
      </c>
      <c r="D51" s="41" t="s">
        <v>248</v>
      </c>
      <c r="E51" s="16" t="s">
        <v>31</v>
      </c>
      <c r="F51" s="42" t="s">
        <v>34</v>
      </c>
      <c r="G51" s="43">
        <v>0</v>
      </c>
      <c r="H51" s="44">
        <v>0</v>
      </c>
      <c r="I51" s="44">
        <v>0</v>
      </c>
      <c r="J51" s="44">
        <v>0</v>
      </c>
      <c r="K51" s="30"/>
      <c r="L51" s="35" t="str">
        <f t="shared" si="0"/>
        <v/>
      </c>
      <c r="M51" s="36"/>
      <c r="N51" s="20" t="s">
        <v>48</v>
      </c>
      <c r="O51" s="20" t="s">
        <v>48</v>
      </c>
    </row>
    <row r="52" spans="1:15" ht="21.75" customHeight="1">
      <c r="A52" s="11">
        <v>43</v>
      </c>
      <c r="B52" s="12">
        <v>2407</v>
      </c>
      <c r="C52" s="14" t="s">
        <v>241</v>
      </c>
      <c r="D52" s="18" t="s">
        <v>206</v>
      </c>
      <c r="E52" s="11" t="s">
        <v>31</v>
      </c>
      <c r="F52" s="20" t="s">
        <v>34</v>
      </c>
      <c r="G52" s="23">
        <v>0</v>
      </c>
      <c r="H52" s="27">
        <v>0</v>
      </c>
      <c r="I52" s="27">
        <v>0</v>
      </c>
      <c r="J52" s="27">
        <v>0</v>
      </c>
      <c r="K52" s="30"/>
      <c r="L52" s="35" t="str">
        <f t="shared" si="0"/>
        <v/>
      </c>
      <c r="M52" s="36"/>
      <c r="N52" s="20" t="s">
        <v>48</v>
      </c>
      <c r="O52" s="20" t="s">
        <v>48</v>
      </c>
    </row>
    <row r="53" spans="1:15" ht="21.75" customHeight="1">
      <c r="A53" s="16">
        <v>44</v>
      </c>
      <c r="B53" s="39">
        <v>2406</v>
      </c>
      <c r="C53" s="40" t="s">
        <v>241</v>
      </c>
      <c r="D53" s="41" t="s">
        <v>255</v>
      </c>
      <c r="E53" s="16" t="s">
        <v>31</v>
      </c>
      <c r="F53" s="42" t="s">
        <v>34</v>
      </c>
      <c r="G53" s="43">
        <v>0</v>
      </c>
      <c r="H53" s="44">
        <v>0</v>
      </c>
      <c r="I53" s="44">
        <v>0</v>
      </c>
      <c r="J53" s="44">
        <v>0</v>
      </c>
      <c r="K53" s="30"/>
      <c r="L53" s="35" t="str">
        <f t="shared" si="0"/>
        <v/>
      </c>
      <c r="M53" s="36"/>
      <c r="N53" s="20" t="s">
        <v>48</v>
      </c>
      <c r="O53" s="20" t="s">
        <v>48</v>
      </c>
    </row>
    <row r="54" spans="1:15" ht="21.75" customHeight="1">
      <c r="A54" s="11">
        <v>45</v>
      </c>
      <c r="B54" s="12">
        <v>2393</v>
      </c>
      <c r="C54" s="14" t="s">
        <v>241</v>
      </c>
      <c r="D54" s="18" t="s">
        <v>260</v>
      </c>
      <c r="E54" s="11" t="s">
        <v>31</v>
      </c>
      <c r="F54" s="20" t="s">
        <v>34</v>
      </c>
      <c r="G54" s="23">
        <v>0</v>
      </c>
      <c r="H54" s="27">
        <v>0</v>
      </c>
      <c r="I54" s="27">
        <v>0</v>
      </c>
      <c r="J54" s="27">
        <v>0</v>
      </c>
      <c r="K54" s="30"/>
      <c r="L54" s="35" t="str">
        <f t="shared" si="0"/>
        <v/>
      </c>
      <c r="M54" s="36"/>
      <c r="N54" s="20" t="s">
        <v>48</v>
      </c>
      <c r="O54" s="20" t="s">
        <v>48</v>
      </c>
    </row>
    <row r="55" spans="1:15" ht="21.75" customHeight="1">
      <c r="A55" s="16">
        <v>46</v>
      </c>
      <c r="B55" s="39">
        <v>2394</v>
      </c>
      <c r="C55" s="40" t="s">
        <v>263</v>
      </c>
      <c r="D55" s="41" t="s">
        <v>264</v>
      </c>
      <c r="E55" s="16" t="s">
        <v>31</v>
      </c>
      <c r="F55" s="42" t="s">
        <v>34</v>
      </c>
      <c r="G55" s="43">
        <v>0</v>
      </c>
      <c r="H55" s="44">
        <v>0</v>
      </c>
      <c r="I55" s="44">
        <v>0</v>
      </c>
      <c r="J55" s="44">
        <v>0</v>
      </c>
      <c r="K55" s="30"/>
      <c r="L55" s="35" t="str">
        <f t="shared" si="0"/>
        <v/>
      </c>
      <c r="M55" s="36"/>
      <c r="N55" s="20" t="s">
        <v>48</v>
      </c>
      <c r="O55" s="20" t="s">
        <v>48</v>
      </c>
    </row>
    <row r="56" spans="1:15" ht="21.75" customHeight="1">
      <c r="A56" s="11">
        <v>47</v>
      </c>
      <c r="B56" s="12">
        <v>2405</v>
      </c>
      <c r="C56" s="14" t="s">
        <v>263</v>
      </c>
      <c r="D56" s="18" t="s">
        <v>269</v>
      </c>
      <c r="E56" s="11" t="s">
        <v>31</v>
      </c>
      <c r="F56" s="20" t="s">
        <v>34</v>
      </c>
      <c r="G56" s="23">
        <v>0</v>
      </c>
      <c r="H56" s="27">
        <v>0</v>
      </c>
      <c r="I56" s="27">
        <v>0</v>
      </c>
      <c r="J56" s="27">
        <v>0</v>
      </c>
      <c r="K56" s="30"/>
      <c r="L56" s="35" t="str">
        <f t="shared" si="0"/>
        <v/>
      </c>
      <c r="M56" s="36"/>
      <c r="N56" s="20" t="s">
        <v>48</v>
      </c>
      <c r="O56" s="20" t="s">
        <v>48</v>
      </c>
    </row>
    <row r="57" spans="1:15" ht="21.75" customHeight="1">
      <c r="A57" s="16">
        <v>48</v>
      </c>
      <c r="B57" s="39">
        <v>2397</v>
      </c>
      <c r="C57" s="40" t="s">
        <v>263</v>
      </c>
      <c r="D57" s="41" t="s">
        <v>272</v>
      </c>
      <c r="E57" s="16" t="s">
        <v>31</v>
      </c>
      <c r="F57" s="42" t="s">
        <v>34</v>
      </c>
      <c r="G57" s="43">
        <v>0</v>
      </c>
      <c r="H57" s="44">
        <v>0</v>
      </c>
      <c r="I57" s="44">
        <v>0</v>
      </c>
      <c r="J57" s="44">
        <v>0</v>
      </c>
      <c r="K57" s="30"/>
      <c r="L57" s="35" t="str">
        <f t="shared" si="0"/>
        <v/>
      </c>
      <c r="M57" s="36"/>
      <c r="N57" s="20" t="s">
        <v>48</v>
      </c>
      <c r="O57" s="20" t="s">
        <v>48</v>
      </c>
    </row>
    <row r="58" spans="1:15" ht="21.75" customHeight="1">
      <c r="A58" s="11">
        <v>49</v>
      </c>
      <c r="B58" s="12">
        <v>2398</v>
      </c>
      <c r="C58" s="14" t="s">
        <v>263</v>
      </c>
      <c r="D58" s="18" t="s">
        <v>277</v>
      </c>
      <c r="E58" s="11" t="s">
        <v>31</v>
      </c>
      <c r="F58" s="20" t="s">
        <v>34</v>
      </c>
      <c r="G58" s="23">
        <v>0</v>
      </c>
      <c r="H58" s="27">
        <v>0</v>
      </c>
      <c r="I58" s="27">
        <v>0</v>
      </c>
      <c r="J58" s="27">
        <v>0</v>
      </c>
      <c r="K58" s="30"/>
      <c r="L58" s="35" t="str">
        <f t="shared" si="0"/>
        <v/>
      </c>
      <c r="M58" s="36"/>
      <c r="N58" s="20" t="s">
        <v>48</v>
      </c>
      <c r="O58" s="20" t="s">
        <v>48</v>
      </c>
    </row>
    <row r="59" spans="1:15" ht="21.75" customHeight="1">
      <c r="A59" s="16">
        <v>50</v>
      </c>
      <c r="B59" s="39">
        <v>2444</v>
      </c>
      <c r="C59" s="40" t="s">
        <v>263</v>
      </c>
      <c r="D59" s="41" t="s">
        <v>281</v>
      </c>
      <c r="E59" s="16" t="s">
        <v>31</v>
      </c>
      <c r="F59" s="42" t="s">
        <v>34</v>
      </c>
      <c r="G59" s="43">
        <v>0</v>
      </c>
      <c r="H59" s="44">
        <v>0</v>
      </c>
      <c r="I59" s="44">
        <v>0</v>
      </c>
      <c r="J59" s="44">
        <v>0</v>
      </c>
      <c r="K59" s="30"/>
      <c r="L59" s="35" t="str">
        <f t="shared" si="0"/>
        <v/>
      </c>
      <c r="M59" s="36"/>
      <c r="N59" s="20" t="s">
        <v>48</v>
      </c>
      <c r="O59" s="20" t="s">
        <v>48</v>
      </c>
    </row>
    <row r="60" spans="1:15" ht="21.75" customHeight="1">
      <c r="A60" s="11">
        <v>51</v>
      </c>
      <c r="B60" s="12">
        <v>2396</v>
      </c>
      <c r="C60" s="14" t="s">
        <v>263</v>
      </c>
      <c r="D60" s="18" t="s">
        <v>285</v>
      </c>
      <c r="E60" s="11" t="s">
        <v>31</v>
      </c>
      <c r="F60" s="20" t="s">
        <v>34</v>
      </c>
      <c r="G60" s="23">
        <v>0</v>
      </c>
      <c r="H60" s="27">
        <v>0</v>
      </c>
      <c r="I60" s="27">
        <v>0</v>
      </c>
      <c r="J60" s="27">
        <v>0</v>
      </c>
      <c r="K60" s="30"/>
      <c r="L60" s="35" t="str">
        <f t="shared" si="0"/>
        <v/>
      </c>
      <c r="M60" s="36"/>
      <c r="N60" s="20" t="s">
        <v>48</v>
      </c>
      <c r="O60" s="20" t="s">
        <v>48</v>
      </c>
    </row>
    <row r="61" spans="1:15" ht="21.75" customHeight="1">
      <c r="A61" s="16">
        <v>52</v>
      </c>
      <c r="B61" s="39">
        <v>2395</v>
      </c>
      <c r="C61" s="40" t="s">
        <v>263</v>
      </c>
      <c r="D61" s="41" t="s">
        <v>288</v>
      </c>
      <c r="E61" s="16" t="s">
        <v>31</v>
      </c>
      <c r="F61" s="42" t="s">
        <v>34</v>
      </c>
      <c r="G61" s="43">
        <v>0</v>
      </c>
      <c r="H61" s="44">
        <v>0</v>
      </c>
      <c r="I61" s="44">
        <v>0</v>
      </c>
      <c r="J61" s="44">
        <v>0</v>
      </c>
      <c r="K61" s="30"/>
      <c r="L61" s="35" t="str">
        <f t="shared" si="0"/>
        <v/>
      </c>
      <c r="M61" s="36"/>
      <c r="N61" s="20" t="s">
        <v>48</v>
      </c>
      <c r="O61" s="20" t="s">
        <v>48</v>
      </c>
    </row>
    <row r="62" spans="1:15" ht="21.75" customHeight="1">
      <c r="A62" s="11">
        <v>53</v>
      </c>
      <c r="B62" s="12">
        <v>1946</v>
      </c>
      <c r="C62" s="14" t="s">
        <v>263</v>
      </c>
      <c r="D62" s="18" t="s">
        <v>293</v>
      </c>
      <c r="E62" s="11" t="s">
        <v>31</v>
      </c>
      <c r="F62" s="20" t="s">
        <v>34</v>
      </c>
      <c r="G62" s="23">
        <v>0</v>
      </c>
      <c r="H62" s="27">
        <v>0</v>
      </c>
      <c r="I62" s="27">
        <v>0</v>
      </c>
      <c r="J62" s="27">
        <v>0</v>
      </c>
      <c r="K62" s="30"/>
      <c r="L62" s="35" t="str">
        <f t="shared" si="0"/>
        <v/>
      </c>
      <c r="M62" s="36"/>
      <c r="N62" s="20" t="s">
        <v>48</v>
      </c>
      <c r="O62" s="20" t="s">
        <v>48</v>
      </c>
    </row>
    <row r="63" spans="1:15" ht="21.75" customHeight="1">
      <c r="A63" s="16">
        <v>54</v>
      </c>
      <c r="B63" s="39">
        <v>2442</v>
      </c>
      <c r="C63" s="40" t="s">
        <v>263</v>
      </c>
      <c r="D63" s="41" t="s">
        <v>300</v>
      </c>
      <c r="E63" s="16" t="s">
        <v>31</v>
      </c>
      <c r="F63" s="42" t="s">
        <v>34</v>
      </c>
      <c r="G63" s="43">
        <v>0</v>
      </c>
      <c r="H63" s="44">
        <v>0</v>
      </c>
      <c r="I63" s="44">
        <v>0</v>
      </c>
      <c r="J63" s="44">
        <v>0</v>
      </c>
      <c r="K63" s="30"/>
      <c r="L63" s="35" t="str">
        <f t="shared" si="0"/>
        <v/>
      </c>
      <c r="M63" s="36"/>
      <c r="N63" s="20" t="s">
        <v>48</v>
      </c>
      <c r="O63" s="20" t="s">
        <v>48</v>
      </c>
    </row>
    <row r="64" spans="1:15" ht="21.75" customHeight="1">
      <c r="A64" s="11">
        <v>55</v>
      </c>
      <c r="B64" s="12">
        <v>2443</v>
      </c>
      <c r="C64" s="14" t="s">
        <v>263</v>
      </c>
      <c r="D64" s="18" t="s">
        <v>304</v>
      </c>
      <c r="E64" s="11" t="s">
        <v>31</v>
      </c>
      <c r="F64" s="20" t="s">
        <v>34</v>
      </c>
      <c r="G64" s="23">
        <v>0</v>
      </c>
      <c r="H64" s="27">
        <v>0</v>
      </c>
      <c r="I64" s="27">
        <v>0</v>
      </c>
      <c r="J64" s="27">
        <v>0</v>
      </c>
      <c r="K64" s="30"/>
      <c r="L64" s="35" t="str">
        <f t="shared" si="0"/>
        <v/>
      </c>
      <c r="M64" s="36"/>
      <c r="N64" s="20" t="s">
        <v>48</v>
      </c>
      <c r="O64" s="20" t="s">
        <v>48</v>
      </c>
    </row>
    <row r="65" spans="1:15" ht="21.75" customHeight="1">
      <c r="A65" s="16">
        <v>56</v>
      </c>
      <c r="B65" s="39">
        <v>2441</v>
      </c>
      <c r="C65" s="40" t="s">
        <v>263</v>
      </c>
      <c r="D65" s="41" t="s">
        <v>309</v>
      </c>
      <c r="E65" s="16" t="s">
        <v>31</v>
      </c>
      <c r="F65" s="42" t="s">
        <v>34</v>
      </c>
      <c r="G65" s="43">
        <v>0</v>
      </c>
      <c r="H65" s="44">
        <v>0</v>
      </c>
      <c r="I65" s="44">
        <v>0</v>
      </c>
      <c r="J65" s="44">
        <v>0</v>
      </c>
      <c r="K65" s="30"/>
      <c r="L65" s="35" t="str">
        <f t="shared" si="0"/>
        <v/>
      </c>
      <c r="M65" s="36"/>
      <c r="N65" s="20" t="s">
        <v>48</v>
      </c>
      <c r="O65" s="20" t="s">
        <v>48</v>
      </c>
    </row>
    <row r="66" spans="1:15" ht="21.75" customHeight="1">
      <c r="A66" s="11">
        <v>57</v>
      </c>
      <c r="B66" s="12">
        <v>1900</v>
      </c>
      <c r="C66" s="14" t="s">
        <v>263</v>
      </c>
      <c r="D66" s="18" t="s">
        <v>313</v>
      </c>
      <c r="E66" s="11" t="s">
        <v>31</v>
      </c>
      <c r="F66" s="20" t="s">
        <v>34</v>
      </c>
      <c r="G66" s="23">
        <v>0</v>
      </c>
      <c r="H66" s="27">
        <v>0</v>
      </c>
      <c r="I66" s="27">
        <v>0</v>
      </c>
      <c r="J66" s="27">
        <v>0</v>
      </c>
      <c r="K66" s="30"/>
      <c r="L66" s="35" t="str">
        <f t="shared" si="0"/>
        <v/>
      </c>
      <c r="M66" s="36"/>
      <c r="N66" s="20" t="s">
        <v>48</v>
      </c>
      <c r="O66" s="20" t="s">
        <v>48</v>
      </c>
    </row>
    <row r="67" spans="1:15" ht="21.75" customHeight="1">
      <c r="A67" s="16">
        <v>58</v>
      </c>
      <c r="B67" s="39">
        <v>2381</v>
      </c>
      <c r="C67" s="40" t="s">
        <v>263</v>
      </c>
      <c r="D67" s="41" t="s">
        <v>315</v>
      </c>
      <c r="E67" s="16" t="s">
        <v>31</v>
      </c>
      <c r="F67" s="42" t="s">
        <v>34</v>
      </c>
      <c r="G67" s="43">
        <v>0</v>
      </c>
      <c r="H67" s="44">
        <v>0</v>
      </c>
      <c r="I67" s="44">
        <v>0</v>
      </c>
      <c r="J67" s="44">
        <v>0</v>
      </c>
      <c r="K67" s="30"/>
      <c r="L67" s="35" t="str">
        <f t="shared" si="0"/>
        <v/>
      </c>
      <c r="M67" s="36"/>
      <c r="N67" s="20" t="s">
        <v>48</v>
      </c>
      <c r="O67" s="20" t="s">
        <v>48</v>
      </c>
    </row>
    <row r="68" spans="1:15" ht="21.75" customHeight="1">
      <c r="A68" s="11">
        <v>59</v>
      </c>
      <c r="B68" s="12">
        <v>2380</v>
      </c>
      <c r="C68" s="14" t="s">
        <v>263</v>
      </c>
      <c r="D68" s="18" t="s">
        <v>320</v>
      </c>
      <c r="E68" s="11" t="s">
        <v>31</v>
      </c>
      <c r="F68" s="20" t="s">
        <v>34</v>
      </c>
      <c r="G68" s="23">
        <v>0</v>
      </c>
      <c r="H68" s="27">
        <v>0</v>
      </c>
      <c r="I68" s="27">
        <v>0</v>
      </c>
      <c r="J68" s="27">
        <v>0</v>
      </c>
      <c r="K68" s="30"/>
      <c r="L68" s="35" t="str">
        <f t="shared" si="0"/>
        <v/>
      </c>
      <c r="M68" s="36"/>
      <c r="N68" s="20" t="s">
        <v>48</v>
      </c>
      <c r="O68" s="20" t="s">
        <v>48</v>
      </c>
    </row>
    <row r="69" spans="1:15" ht="21.75" customHeight="1">
      <c r="A69" s="16">
        <v>60</v>
      </c>
      <c r="B69" s="39">
        <v>1896</v>
      </c>
      <c r="C69" s="40" t="s">
        <v>324</v>
      </c>
      <c r="D69" s="41" t="s">
        <v>325</v>
      </c>
      <c r="E69" s="16" t="s">
        <v>31</v>
      </c>
      <c r="F69" s="42" t="s">
        <v>34</v>
      </c>
      <c r="G69" s="43">
        <v>0</v>
      </c>
      <c r="H69" s="44">
        <v>0</v>
      </c>
      <c r="I69" s="44">
        <v>0</v>
      </c>
      <c r="J69" s="44">
        <v>0</v>
      </c>
      <c r="K69" s="30"/>
      <c r="L69" s="35" t="str">
        <f t="shared" si="0"/>
        <v/>
      </c>
      <c r="M69" s="36"/>
      <c r="N69" s="20" t="s">
        <v>48</v>
      </c>
      <c r="O69" s="20" t="s">
        <v>48</v>
      </c>
    </row>
    <row r="70" spans="1:15" ht="21.75" customHeight="1">
      <c r="A70" s="11">
        <v>61</v>
      </c>
      <c r="B70" s="12">
        <v>1897</v>
      </c>
      <c r="C70" s="14" t="s">
        <v>324</v>
      </c>
      <c r="D70" s="18" t="s">
        <v>331</v>
      </c>
      <c r="E70" s="11" t="s">
        <v>31</v>
      </c>
      <c r="F70" s="20" t="s">
        <v>34</v>
      </c>
      <c r="G70" s="23">
        <v>0</v>
      </c>
      <c r="H70" s="27">
        <v>0</v>
      </c>
      <c r="I70" s="27">
        <v>0</v>
      </c>
      <c r="J70" s="27">
        <v>0</v>
      </c>
      <c r="K70" s="30"/>
      <c r="L70" s="35" t="str">
        <f t="shared" si="0"/>
        <v/>
      </c>
      <c r="M70" s="36"/>
      <c r="N70" s="20" t="s">
        <v>48</v>
      </c>
      <c r="O70" s="20" t="s">
        <v>48</v>
      </c>
    </row>
    <row r="71" spans="1:15" ht="21.75" customHeight="1">
      <c r="A71" s="16">
        <v>62</v>
      </c>
      <c r="B71" s="39">
        <v>1898</v>
      </c>
      <c r="C71" s="40" t="s">
        <v>324</v>
      </c>
      <c r="D71" s="41" t="s">
        <v>340</v>
      </c>
      <c r="E71" s="16" t="s">
        <v>31</v>
      </c>
      <c r="F71" s="42" t="s">
        <v>34</v>
      </c>
      <c r="G71" s="43">
        <v>0</v>
      </c>
      <c r="H71" s="44">
        <v>0</v>
      </c>
      <c r="I71" s="44">
        <v>0</v>
      </c>
      <c r="J71" s="44">
        <v>0</v>
      </c>
      <c r="K71" s="30"/>
      <c r="L71" s="35" t="str">
        <f t="shared" si="0"/>
        <v/>
      </c>
      <c r="M71" s="36"/>
      <c r="N71" s="20" t="s">
        <v>48</v>
      </c>
      <c r="O71" s="20" t="s">
        <v>48</v>
      </c>
    </row>
    <row r="72" spans="1:15" ht="21.75" customHeight="1">
      <c r="A72" s="11">
        <v>63</v>
      </c>
      <c r="B72" s="12">
        <v>1899</v>
      </c>
      <c r="C72" s="14" t="s">
        <v>324</v>
      </c>
      <c r="D72" s="18" t="s">
        <v>347</v>
      </c>
      <c r="E72" s="11" t="s">
        <v>31</v>
      </c>
      <c r="F72" s="20" t="s">
        <v>34</v>
      </c>
      <c r="G72" s="23">
        <v>0</v>
      </c>
      <c r="H72" s="27">
        <v>0</v>
      </c>
      <c r="I72" s="27">
        <v>0</v>
      </c>
      <c r="J72" s="27">
        <v>0</v>
      </c>
      <c r="K72" s="30"/>
      <c r="L72" s="35" t="str">
        <f t="shared" si="0"/>
        <v/>
      </c>
      <c r="M72" s="36"/>
      <c r="N72" s="20" t="s">
        <v>48</v>
      </c>
      <c r="O72" s="20" t="s">
        <v>48</v>
      </c>
    </row>
    <row r="73" spans="1:15" ht="21.75" customHeight="1">
      <c r="A73" s="16">
        <v>64</v>
      </c>
      <c r="B73" s="39">
        <v>2376</v>
      </c>
      <c r="C73" s="40" t="s">
        <v>324</v>
      </c>
      <c r="D73" s="41" t="s">
        <v>351</v>
      </c>
      <c r="E73" s="16" t="s">
        <v>31</v>
      </c>
      <c r="F73" s="42" t="s">
        <v>34</v>
      </c>
      <c r="G73" s="43">
        <v>0</v>
      </c>
      <c r="H73" s="44">
        <v>0</v>
      </c>
      <c r="I73" s="44">
        <v>0</v>
      </c>
      <c r="J73" s="44">
        <v>0</v>
      </c>
      <c r="K73" s="30"/>
      <c r="L73" s="35" t="str">
        <f t="shared" si="0"/>
        <v/>
      </c>
      <c r="M73" s="36"/>
      <c r="N73" s="20" t="s">
        <v>48</v>
      </c>
      <c r="O73" s="20" t="s">
        <v>48</v>
      </c>
    </row>
    <row r="74" spans="1:15" ht="21.75" customHeight="1">
      <c r="A74" s="11">
        <v>65</v>
      </c>
      <c r="B74" s="12">
        <v>1948</v>
      </c>
      <c r="C74" s="14" t="s">
        <v>324</v>
      </c>
      <c r="D74" s="18" t="s">
        <v>354</v>
      </c>
      <c r="E74" s="11" t="s">
        <v>31</v>
      </c>
      <c r="F74" s="20" t="s">
        <v>34</v>
      </c>
      <c r="G74" s="23">
        <v>0</v>
      </c>
      <c r="H74" s="27">
        <v>0</v>
      </c>
      <c r="I74" s="27">
        <v>0</v>
      </c>
      <c r="J74" s="27">
        <v>0</v>
      </c>
      <c r="K74" s="30"/>
      <c r="L74" s="35" t="str">
        <f t="shared" si="0"/>
        <v/>
      </c>
      <c r="M74" s="36"/>
      <c r="N74" s="20" t="s">
        <v>48</v>
      </c>
      <c r="O74" s="20" t="s">
        <v>48</v>
      </c>
    </row>
    <row r="75" spans="1:15" ht="21.75" customHeight="1">
      <c r="A75" s="16">
        <v>66</v>
      </c>
      <c r="B75" s="39">
        <v>1950</v>
      </c>
      <c r="C75" s="40" t="s">
        <v>361</v>
      </c>
      <c r="D75" s="41" t="s">
        <v>362</v>
      </c>
      <c r="E75" s="16" t="s">
        <v>31</v>
      </c>
      <c r="F75" s="42" t="s">
        <v>34</v>
      </c>
      <c r="G75" s="43">
        <v>0</v>
      </c>
      <c r="H75" s="44">
        <v>0</v>
      </c>
      <c r="I75" s="44">
        <v>0</v>
      </c>
      <c r="J75" s="44">
        <v>0</v>
      </c>
      <c r="K75" s="30"/>
      <c r="L75" s="35" t="str">
        <f t="shared" si="0"/>
        <v/>
      </c>
      <c r="M75" s="36"/>
      <c r="N75" s="20" t="s">
        <v>48</v>
      </c>
      <c r="O75" s="20" t="s">
        <v>48</v>
      </c>
    </row>
    <row r="76" spans="1:15" ht="21.75" customHeight="1">
      <c r="A76" s="11">
        <v>67</v>
      </c>
      <c r="B76" s="12">
        <v>1966</v>
      </c>
      <c r="C76" s="14" t="s">
        <v>361</v>
      </c>
      <c r="D76" s="18" t="s">
        <v>367</v>
      </c>
      <c r="E76" s="11" t="s">
        <v>31</v>
      </c>
      <c r="F76" s="20" t="s">
        <v>34</v>
      </c>
      <c r="G76" s="23">
        <v>0</v>
      </c>
      <c r="H76" s="27">
        <v>0</v>
      </c>
      <c r="I76" s="27">
        <v>0</v>
      </c>
      <c r="J76" s="27">
        <v>0</v>
      </c>
      <c r="K76" s="30"/>
      <c r="L76" s="35" t="str">
        <f t="shared" si="0"/>
        <v/>
      </c>
      <c r="M76" s="36"/>
      <c r="N76" s="20" t="s">
        <v>48</v>
      </c>
      <c r="O76" s="20" t="s">
        <v>48</v>
      </c>
    </row>
    <row r="77" spans="1:15" ht="21.75" customHeight="1">
      <c r="A77" s="16">
        <v>68</v>
      </c>
      <c r="B77" s="39">
        <v>1967</v>
      </c>
      <c r="C77" s="40" t="s">
        <v>361</v>
      </c>
      <c r="D77" s="41" t="s">
        <v>371</v>
      </c>
      <c r="E77" s="16" t="s">
        <v>31</v>
      </c>
      <c r="F77" s="42" t="s">
        <v>34</v>
      </c>
      <c r="G77" s="43">
        <v>0</v>
      </c>
      <c r="H77" s="44">
        <v>0</v>
      </c>
      <c r="I77" s="44">
        <v>0</v>
      </c>
      <c r="J77" s="44">
        <v>0</v>
      </c>
      <c r="K77" s="30"/>
      <c r="L77" s="35" t="str">
        <f t="shared" si="0"/>
        <v/>
      </c>
      <c r="M77" s="36"/>
      <c r="N77" s="20" t="s">
        <v>48</v>
      </c>
      <c r="O77" s="20" t="s">
        <v>48</v>
      </c>
    </row>
    <row r="78" spans="1:15" ht="21.75" customHeight="1">
      <c r="A78" s="11">
        <v>69</v>
      </c>
      <c r="B78" s="12">
        <v>1968</v>
      </c>
      <c r="C78" s="14" t="s">
        <v>376</v>
      </c>
      <c r="D78" s="18" t="s">
        <v>377</v>
      </c>
      <c r="E78" s="11" t="s">
        <v>31</v>
      </c>
      <c r="F78" s="20" t="s">
        <v>34</v>
      </c>
      <c r="G78" s="23">
        <v>0</v>
      </c>
      <c r="H78" s="27">
        <v>0</v>
      </c>
      <c r="I78" s="27">
        <v>0</v>
      </c>
      <c r="J78" s="27">
        <v>0</v>
      </c>
      <c r="K78" s="30"/>
      <c r="L78" s="35" t="str">
        <f t="shared" si="0"/>
        <v/>
      </c>
      <c r="M78" s="36"/>
      <c r="N78" s="20" t="s">
        <v>48</v>
      </c>
      <c r="O78" s="20" t="s">
        <v>48</v>
      </c>
    </row>
    <row r="79" spans="1:15" ht="21.75" customHeight="1">
      <c r="A79" s="16">
        <v>70</v>
      </c>
      <c r="B79" s="39">
        <v>1969</v>
      </c>
      <c r="C79" s="40" t="s">
        <v>376</v>
      </c>
      <c r="D79" s="41" t="s">
        <v>379</v>
      </c>
      <c r="E79" s="16" t="s">
        <v>31</v>
      </c>
      <c r="F79" s="42" t="s">
        <v>34</v>
      </c>
      <c r="G79" s="43">
        <v>0</v>
      </c>
      <c r="H79" s="44">
        <v>0</v>
      </c>
      <c r="I79" s="44">
        <v>0</v>
      </c>
      <c r="J79" s="44">
        <v>0</v>
      </c>
      <c r="K79" s="30"/>
      <c r="L79" s="35" t="str">
        <f t="shared" si="0"/>
        <v/>
      </c>
      <c r="M79" s="36"/>
      <c r="N79" s="20" t="s">
        <v>48</v>
      </c>
      <c r="O79" s="20" t="s">
        <v>48</v>
      </c>
    </row>
    <row r="80" spans="1:15" ht="21.75" customHeight="1">
      <c r="A80" s="11">
        <v>71</v>
      </c>
      <c r="B80" s="12">
        <v>1947</v>
      </c>
      <c r="C80" s="14" t="s">
        <v>376</v>
      </c>
      <c r="D80" s="18" t="s">
        <v>380</v>
      </c>
      <c r="E80" s="11" t="s">
        <v>31</v>
      </c>
      <c r="F80" s="20" t="s">
        <v>34</v>
      </c>
      <c r="G80" s="23">
        <v>0</v>
      </c>
      <c r="H80" s="27">
        <v>0</v>
      </c>
      <c r="I80" s="27">
        <v>0</v>
      </c>
      <c r="J80" s="27">
        <v>0</v>
      </c>
      <c r="K80" s="30"/>
      <c r="L80" s="35" t="str">
        <f t="shared" si="0"/>
        <v/>
      </c>
      <c r="M80" s="36"/>
      <c r="N80" s="20" t="s">
        <v>48</v>
      </c>
      <c r="O80" s="20" t="s">
        <v>48</v>
      </c>
    </row>
    <row r="81" spans="1:15" ht="21.75" customHeight="1">
      <c r="A81" s="16">
        <v>72</v>
      </c>
      <c r="B81" s="39">
        <v>1964</v>
      </c>
      <c r="C81" s="40" t="s">
        <v>376</v>
      </c>
      <c r="D81" s="41" t="s">
        <v>381</v>
      </c>
      <c r="E81" s="16" t="s">
        <v>31</v>
      </c>
      <c r="F81" s="42" t="s">
        <v>34</v>
      </c>
      <c r="G81" s="43">
        <v>0</v>
      </c>
      <c r="H81" s="44">
        <v>0</v>
      </c>
      <c r="I81" s="44">
        <v>0</v>
      </c>
      <c r="J81" s="44">
        <v>0</v>
      </c>
      <c r="K81" s="30"/>
      <c r="L81" s="35" t="str">
        <f t="shared" si="0"/>
        <v/>
      </c>
      <c r="M81" s="36"/>
      <c r="N81" s="20" t="s">
        <v>48</v>
      </c>
      <c r="O81" s="20" t="s">
        <v>48</v>
      </c>
    </row>
    <row r="82" spans="1:15" ht="21.75" customHeight="1">
      <c r="A82" s="11">
        <v>73</v>
      </c>
      <c r="B82" s="12">
        <v>1958</v>
      </c>
      <c r="C82" s="14" t="s">
        <v>382</v>
      </c>
      <c r="D82" s="18" t="s">
        <v>383</v>
      </c>
      <c r="E82" s="11" t="s">
        <v>31</v>
      </c>
      <c r="F82" s="20" t="s">
        <v>34</v>
      </c>
      <c r="G82" s="23">
        <v>0</v>
      </c>
      <c r="H82" s="27">
        <v>0</v>
      </c>
      <c r="I82" s="27">
        <v>0</v>
      </c>
      <c r="J82" s="27">
        <v>0</v>
      </c>
      <c r="K82" s="30"/>
      <c r="L82" s="35" t="str">
        <f t="shared" si="0"/>
        <v/>
      </c>
      <c r="M82" s="36"/>
      <c r="N82" s="20" t="s">
        <v>48</v>
      </c>
      <c r="O82" s="20" t="s">
        <v>48</v>
      </c>
    </row>
    <row r="83" spans="1:15" ht="21.75" customHeight="1">
      <c r="A83" s="16">
        <v>74</v>
      </c>
      <c r="B83" s="39">
        <v>1933</v>
      </c>
      <c r="C83" s="40" t="s">
        <v>384</v>
      </c>
      <c r="D83" s="41" t="s">
        <v>385</v>
      </c>
      <c r="E83" s="16" t="s">
        <v>31</v>
      </c>
      <c r="F83" s="42" t="s">
        <v>34</v>
      </c>
      <c r="G83" s="43">
        <v>0</v>
      </c>
      <c r="H83" s="44">
        <v>0</v>
      </c>
      <c r="I83" s="44">
        <v>0</v>
      </c>
      <c r="J83" s="44">
        <v>0</v>
      </c>
      <c r="K83" s="30"/>
      <c r="L83" s="35" t="str">
        <f t="shared" si="0"/>
        <v/>
      </c>
      <c r="M83" s="36"/>
      <c r="N83" s="20" t="s">
        <v>48</v>
      </c>
      <c r="O83" s="20" t="s">
        <v>48</v>
      </c>
    </row>
    <row r="84" spans="1:15" ht="21.75" customHeight="1">
      <c r="A84" s="11">
        <v>75</v>
      </c>
      <c r="B84" s="12">
        <v>1932</v>
      </c>
      <c r="C84" s="14" t="s">
        <v>384</v>
      </c>
      <c r="D84" s="18" t="s">
        <v>386</v>
      </c>
      <c r="E84" s="11" t="s">
        <v>31</v>
      </c>
      <c r="F84" s="20" t="s">
        <v>34</v>
      </c>
      <c r="G84" s="23">
        <v>0</v>
      </c>
      <c r="H84" s="27">
        <v>0</v>
      </c>
      <c r="I84" s="27">
        <v>0</v>
      </c>
      <c r="J84" s="27">
        <v>0</v>
      </c>
      <c r="K84" s="30"/>
      <c r="L84" s="35" t="str">
        <f t="shared" si="0"/>
        <v/>
      </c>
      <c r="M84" s="36"/>
      <c r="N84" s="20" t="s">
        <v>48</v>
      </c>
      <c r="O84" s="20" t="s">
        <v>48</v>
      </c>
    </row>
    <row r="85" spans="1:15" ht="21.75" customHeight="1">
      <c r="A85" s="16">
        <v>76</v>
      </c>
      <c r="B85" s="39">
        <v>2422</v>
      </c>
      <c r="C85" s="40" t="s">
        <v>387</v>
      </c>
      <c r="D85" s="41" t="s">
        <v>388</v>
      </c>
      <c r="E85" s="16" t="s">
        <v>31</v>
      </c>
      <c r="F85" s="42" t="s">
        <v>34</v>
      </c>
      <c r="G85" s="43">
        <v>0</v>
      </c>
      <c r="H85" s="44">
        <v>0</v>
      </c>
      <c r="I85" s="44">
        <v>0</v>
      </c>
      <c r="J85" s="44">
        <v>0</v>
      </c>
      <c r="K85" s="30"/>
      <c r="L85" s="35" t="str">
        <f t="shared" si="0"/>
        <v/>
      </c>
      <c r="M85" s="36"/>
      <c r="N85" s="20" t="s">
        <v>48</v>
      </c>
      <c r="O85" s="20" t="s">
        <v>48</v>
      </c>
    </row>
    <row r="86" spans="1:15" ht="21.75" customHeight="1">
      <c r="A86" s="11">
        <v>77</v>
      </c>
      <c r="B86" s="12">
        <v>1952</v>
      </c>
      <c r="C86" s="14" t="s">
        <v>387</v>
      </c>
      <c r="D86" s="18" t="s">
        <v>390</v>
      </c>
      <c r="E86" s="11" t="s">
        <v>31</v>
      </c>
      <c r="F86" s="20" t="s">
        <v>34</v>
      </c>
      <c r="G86" s="23">
        <v>0</v>
      </c>
      <c r="H86" s="27">
        <v>0</v>
      </c>
      <c r="I86" s="27">
        <v>0</v>
      </c>
      <c r="J86" s="27">
        <v>0</v>
      </c>
      <c r="K86" s="30"/>
      <c r="L86" s="35" t="str">
        <f t="shared" si="0"/>
        <v/>
      </c>
      <c r="M86" s="36"/>
      <c r="N86" s="20" t="s">
        <v>48</v>
      </c>
      <c r="O86" s="20" t="s">
        <v>48</v>
      </c>
    </row>
    <row r="87" spans="1:15" ht="21.75" customHeight="1">
      <c r="A87" s="16">
        <v>78</v>
      </c>
      <c r="B87" s="39">
        <v>1908</v>
      </c>
      <c r="C87" s="40" t="s">
        <v>387</v>
      </c>
      <c r="D87" s="41" t="s">
        <v>394</v>
      </c>
      <c r="E87" s="16" t="s">
        <v>31</v>
      </c>
      <c r="F87" s="42" t="s">
        <v>34</v>
      </c>
      <c r="G87" s="43">
        <v>0</v>
      </c>
      <c r="H87" s="44">
        <v>0</v>
      </c>
      <c r="I87" s="44">
        <v>0</v>
      </c>
      <c r="J87" s="44">
        <v>0</v>
      </c>
      <c r="K87" s="30"/>
      <c r="L87" s="35" t="str">
        <f t="shared" si="0"/>
        <v/>
      </c>
      <c r="M87" s="36"/>
      <c r="N87" s="20" t="s">
        <v>48</v>
      </c>
      <c r="O87" s="20" t="s">
        <v>48</v>
      </c>
    </row>
    <row r="88" spans="1:15" ht="21.75" customHeight="1">
      <c r="A88" s="11">
        <v>79</v>
      </c>
      <c r="B88" s="12">
        <v>1951</v>
      </c>
      <c r="C88" s="14" t="s">
        <v>387</v>
      </c>
      <c r="D88" s="18" t="s">
        <v>397</v>
      </c>
      <c r="E88" s="11" t="s">
        <v>31</v>
      </c>
      <c r="F88" s="20" t="s">
        <v>34</v>
      </c>
      <c r="G88" s="23">
        <v>0</v>
      </c>
      <c r="H88" s="27">
        <v>0</v>
      </c>
      <c r="I88" s="27">
        <v>0</v>
      </c>
      <c r="J88" s="27">
        <v>0</v>
      </c>
      <c r="K88" s="30"/>
      <c r="L88" s="35" t="str">
        <f t="shared" si="0"/>
        <v/>
      </c>
      <c r="M88" s="36"/>
      <c r="N88" s="20" t="s">
        <v>48</v>
      </c>
      <c r="O88" s="20" t="s">
        <v>48</v>
      </c>
    </row>
    <row r="89" spans="1:15" ht="21.75" customHeight="1">
      <c r="A89" s="16">
        <v>80</v>
      </c>
      <c r="B89" s="39">
        <v>1965</v>
      </c>
      <c r="C89" s="40" t="s">
        <v>387</v>
      </c>
      <c r="D89" s="41" t="s">
        <v>399</v>
      </c>
      <c r="E89" s="16" t="s">
        <v>31</v>
      </c>
      <c r="F89" s="42" t="s">
        <v>34</v>
      </c>
      <c r="G89" s="43">
        <v>0</v>
      </c>
      <c r="H89" s="44">
        <v>0</v>
      </c>
      <c r="I89" s="44">
        <v>0</v>
      </c>
      <c r="J89" s="44">
        <v>0</v>
      </c>
      <c r="K89" s="30"/>
      <c r="L89" s="35" t="str">
        <f t="shared" si="0"/>
        <v/>
      </c>
      <c r="M89" s="36"/>
      <c r="N89" s="20" t="s">
        <v>48</v>
      </c>
      <c r="O89" s="20" t="s">
        <v>48</v>
      </c>
    </row>
    <row r="90" spans="1:15" ht="21.75" customHeight="1">
      <c r="A90" s="11">
        <v>81</v>
      </c>
      <c r="B90" s="12">
        <v>1962</v>
      </c>
      <c r="C90" s="14" t="s">
        <v>387</v>
      </c>
      <c r="D90" s="18" t="s">
        <v>400</v>
      </c>
      <c r="E90" s="11" t="s">
        <v>31</v>
      </c>
      <c r="F90" s="20" t="s">
        <v>34</v>
      </c>
      <c r="G90" s="23">
        <v>0</v>
      </c>
      <c r="H90" s="27">
        <v>0</v>
      </c>
      <c r="I90" s="27">
        <v>0</v>
      </c>
      <c r="J90" s="27">
        <v>0</v>
      </c>
      <c r="K90" s="30"/>
      <c r="L90" s="35" t="str">
        <f t="shared" si="0"/>
        <v/>
      </c>
      <c r="M90" s="36"/>
      <c r="N90" s="20" t="s">
        <v>48</v>
      </c>
      <c r="O90" s="20" t="s">
        <v>48</v>
      </c>
    </row>
    <row r="91" spans="1:15" ht="21.75" customHeight="1">
      <c r="A91" s="16">
        <v>82</v>
      </c>
      <c r="B91" s="39">
        <v>1901</v>
      </c>
      <c r="C91" s="40" t="s">
        <v>387</v>
      </c>
      <c r="D91" s="41" t="s">
        <v>401</v>
      </c>
      <c r="E91" s="16" t="s">
        <v>31</v>
      </c>
      <c r="F91" s="42" t="s">
        <v>34</v>
      </c>
      <c r="G91" s="43">
        <v>0</v>
      </c>
      <c r="H91" s="44">
        <v>0</v>
      </c>
      <c r="I91" s="44">
        <v>0</v>
      </c>
      <c r="J91" s="44">
        <v>0</v>
      </c>
      <c r="K91" s="30"/>
      <c r="L91" s="35" t="str">
        <f t="shared" si="0"/>
        <v/>
      </c>
      <c r="M91" s="36"/>
      <c r="N91" s="20" t="s">
        <v>48</v>
      </c>
      <c r="O91" s="20" t="s">
        <v>48</v>
      </c>
    </row>
    <row r="92" spans="1:15" ht="21.75" customHeight="1">
      <c r="A92" s="11">
        <v>83</v>
      </c>
      <c r="B92" s="12">
        <v>1902</v>
      </c>
      <c r="C92" s="14" t="s">
        <v>387</v>
      </c>
      <c r="D92" s="18" t="s">
        <v>402</v>
      </c>
      <c r="E92" s="11" t="s">
        <v>31</v>
      </c>
      <c r="F92" s="20" t="s">
        <v>34</v>
      </c>
      <c r="G92" s="23">
        <v>0</v>
      </c>
      <c r="H92" s="27">
        <v>0</v>
      </c>
      <c r="I92" s="27">
        <v>0</v>
      </c>
      <c r="J92" s="27">
        <v>0</v>
      </c>
      <c r="K92" s="30"/>
      <c r="L92" s="35" t="str">
        <f t="shared" si="0"/>
        <v/>
      </c>
      <c r="M92" s="36"/>
      <c r="N92" s="20" t="s">
        <v>48</v>
      </c>
      <c r="O92" s="20" t="s">
        <v>48</v>
      </c>
    </row>
    <row r="93" spans="1:15" ht="21.75" customHeight="1">
      <c r="A93" s="16">
        <v>84</v>
      </c>
      <c r="B93" s="39">
        <v>1903</v>
      </c>
      <c r="C93" s="40" t="s">
        <v>403</v>
      </c>
      <c r="D93" s="41" t="s">
        <v>404</v>
      </c>
      <c r="E93" s="16" t="s">
        <v>31</v>
      </c>
      <c r="F93" s="42" t="s">
        <v>34</v>
      </c>
      <c r="G93" s="43">
        <v>0</v>
      </c>
      <c r="H93" s="44">
        <v>0</v>
      </c>
      <c r="I93" s="44">
        <v>0</v>
      </c>
      <c r="J93" s="44">
        <v>0</v>
      </c>
      <c r="K93" s="30"/>
      <c r="L93" s="35" t="str">
        <f t="shared" si="0"/>
        <v/>
      </c>
      <c r="M93" s="36"/>
      <c r="N93" s="20" t="s">
        <v>48</v>
      </c>
      <c r="O93" s="20" t="s">
        <v>48</v>
      </c>
    </row>
    <row r="94" spans="1:15" ht="21.75" customHeight="1">
      <c r="A94" s="11">
        <v>85</v>
      </c>
      <c r="B94" s="12">
        <v>1904</v>
      </c>
      <c r="C94" s="14" t="s">
        <v>405</v>
      </c>
      <c r="D94" s="18" t="s">
        <v>406</v>
      </c>
      <c r="E94" s="11" t="s">
        <v>31</v>
      </c>
      <c r="F94" s="20" t="s">
        <v>34</v>
      </c>
      <c r="G94" s="23">
        <v>0</v>
      </c>
      <c r="H94" s="27">
        <v>0</v>
      </c>
      <c r="I94" s="27">
        <v>0</v>
      </c>
      <c r="J94" s="27">
        <v>0</v>
      </c>
      <c r="K94" s="30"/>
      <c r="L94" s="35" t="str">
        <f t="shared" si="0"/>
        <v/>
      </c>
      <c r="M94" s="36"/>
      <c r="N94" s="20" t="s">
        <v>48</v>
      </c>
      <c r="O94" s="20" t="s">
        <v>48</v>
      </c>
    </row>
    <row r="95" spans="1:15" ht="21.75" customHeight="1">
      <c r="A95" s="16">
        <v>86</v>
      </c>
      <c r="B95" s="39">
        <v>1905</v>
      </c>
      <c r="C95" s="40" t="s">
        <v>407</v>
      </c>
      <c r="D95" s="41" t="s">
        <v>408</v>
      </c>
      <c r="E95" s="16" t="s">
        <v>31</v>
      </c>
      <c r="F95" s="42" t="s">
        <v>34</v>
      </c>
      <c r="G95" s="43">
        <v>0</v>
      </c>
      <c r="H95" s="44">
        <v>0</v>
      </c>
      <c r="I95" s="44">
        <v>0</v>
      </c>
      <c r="J95" s="44">
        <v>0</v>
      </c>
      <c r="K95" s="30"/>
      <c r="L95" s="35" t="str">
        <f t="shared" si="0"/>
        <v/>
      </c>
      <c r="M95" s="36"/>
      <c r="N95" s="20" t="s">
        <v>48</v>
      </c>
      <c r="O95" s="20" t="s">
        <v>48</v>
      </c>
    </row>
    <row r="96" spans="1:15" ht="21.75" customHeight="1">
      <c r="A96" s="11">
        <v>87</v>
      </c>
      <c r="B96" s="12">
        <v>1906</v>
      </c>
      <c r="C96" s="14" t="s">
        <v>409</v>
      </c>
      <c r="D96" s="18" t="s">
        <v>410</v>
      </c>
      <c r="E96" s="11" t="s">
        <v>31</v>
      </c>
      <c r="F96" s="20" t="s">
        <v>34</v>
      </c>
      <c r="G96" s="23">
        <v>0</v>
      </c>
      <c r="H96" s="27">
        <v>0</v>
      </c>
      <c r="I96" s="27">
        <v>0</v>
      </c>
      <c r="J96" s="27">
        <v>0</v>
      </c>
      <c r="K96" s="30"/>
      <c r="L96" s="35" t="str">
        <f t="shared" si="0"/>
        <v/>
      </c>
      <c r="M96" s="36"/>
      <c r="N96" s="20" t="s">
        <v>48</v>
      </c>
      <c r="O96" s="20" t="s">
        <v>48</v>
      </c>
    </row>
    <row r="97" spans="1:15" ht="21.75" customHeight="1">
      <c r="A97" s="16">
        <v>88</v>
      </c>
      <c r="B97" s="39">
        <v>1907</v>
      </c>
      <c r="C97" s="40" t="s">
        <v>409</v>
      </c>
      <c r="D97" s="41" t="s">
        <v>411</v>
      </c>
      <c r="E97" s="16" t="s">
        <v>31</v>
      </c>
      <c r="F97" s="42" t="s">
        <v>34</v>
      </c>
      <c r="G97" s="43">
        <v>0</v>
      </c>
      <c r="H97" s="44">
        <v>0</v>
      </c>
      <c r="I97" s="44">
        <v>0</v>
      </c>
      <c r="J97" s="44">
        <v>0</v>
      </c>
      <c r="K97" s="30"/>
      <c r="L97" s="35" t="str">
        <f t="shared" si="0"/>
        <v/>
      </c>
      <c r="M97" s="36"/>
      <c r="N97" s="20" t="s">
        <v>48</v>
      </c>
      <c r="O97" s="20" t="s">
        <v>48</v>
      </c>
    </row>
    <row r="98" spans="1:15" ht="21.75" customHeight="1">
      <c r="A98" s="11">
        <v>89</v>
      </c>
      <c r="B98" s="12">
        <v>2382</v>
      </c>
      <c r="C98" s="14" t="s">
        <v>409</v>
      </c>
      <c r="D98" s="18" t="s">
        <v>412</v>
      </c>
      <c r="E98" s="11" t="s">
        <v>31</v>
      </c>
      <c r="F98" s="20" t="s">
        <v>34</v>
      </c>
      <c r="G98" s="23">
        <v>0</v>
      </c>
      <c r="H98" s="27">
        <v>0</v>
      </c>
      <c r="I98" s="27">
        <v>0</v>
      </c>
      <c r="J98" s="27">
        <v>0</v>
      </c>
      <c r="K98" s="30"/>
      <c r="L98" s="35" t="str">
        <f t="shared" si="0"/>
        <v/>
      </c>
      <c r="M98" s="36"/>
      <c r="N98" s="20" t="s">
        <v>48</v>
      </c>
      <c r="O98" s="20" t="s">
        <v>48</v>
      </c>
    </row>
    <row r="99" spans="1:15" ht="21.75" customHeight="1">
      <c r="A99" s="16">
        <v>90</v>
      </c>
      <c r="B99" s="39">
        <v>1909</v>
      </c>
      <c r="C99" s="40" t="s">
        <v>409</v>
      </c>
      <c r="D99" s="41" t="s">
        <v>413</v>
      </c>
      <c r="E99" s="16" t="s">
        <v>31</v>
      </c>
      <c r="F99" s="42" t="s">
        <v>34</v>
      </c>
      <c r="G99" s="43">
        <v>0</v>
      </c>
      <c r="H99" s="44">
        <v>0</v>
      </c>
      <c r="I99" s="44">
        <v>0</v>
      </c>
      <c r="J99" s="44">
        <v>0</v>
      </c>
      <c r="K99" s="30"/>
      <c r="L99" s="35" t="str">
        <f t="shared" si="0"/>
        <v/>
      </c>
      <c r="M99" s="36"/>
      <c r="N99" s="20" t="s">
        <v>48</v>
      </c>
      <c r="O99" s="20" t="s">
        <v>48</v>
      </c>
    </row>
    <row r="100" spans="1:15" ht="21.75" customHeight="1">
      <c r="A100" s="11">
        <v>91</v>
      </c>
      <c r="B100" s="12">
        <v>1882</v>
      </c>
      <c r="C100" s="14" t="s">
        <v>409</v>
      </c>
      <c r="D100" s="18" t="s">
        <v>414</v>
      </c>
      <c r="E100" s="11" t="s">
        <v>31</v>
      </c>
      <c r="F100" s="20" t="s">
        <v>34</v>
      </c>
      <c r="G100" s="23">
        <v>0</v>
      </c>
      <c r="H100" s="27">
        <v>0</v>
      </c>
      <c r="I100" s="27">
        <v>0</v>
      </c>
      <c r="J100" s="27">
        <v>0</v>
      </c>
      <c r="K100" s="30"/>
      <c r="L100" s="35" t="str">
        <f t="shared" si="0"/>
        <v/>
      </c>
      <c r="M100" s="36"/>
      <c r="N100" s="20" t="s">
        <v>48</v>
      </c>
      <c r="O100" s="20" t="s">
        <v>48</v>
      </c>
    </row>
    <row r="101" spans="1:15" ht="21.75" customHeight="1">
      <c r="A101" s="16">
        <v>92</v>
      </c>
      <c r="B101" s="39">
        <v>1883</v>
      </c>
      <c r="C101" s="40" t="s">
        <v>409</v>
      </c>
      <c r="D101" s="41" t="s">
        <v>415</v>
      </c>
      <c r="E101" s="16" t="s">
        <v>31</v>
      </c>
      <c r="F101" s="42" t="s">
        <v>34</v>
      </c>
      <c r="G101" s="43">
        <v>0</v>
      </c>
      <c r="H101" s="44">
        <v>0</v>
      </c>
      <c r="I101" s="44">
        <v>0</v>
      </c>
      <c r="J101" s="44">
        <v>0</v>
      </c>
      <c r="K101" s="30"/>
      <c r="L101" s="35" t="str">
        <f t="shared" si="0"/>
        <v/>
      </c>
      <c r="M101" s="36"/>
      <c r="N101" s="20" t="s">
        <v>48</v>
      </c>
      <c r="O101" s="20" t="s">
        <v>48</v>
      </c>
    </row>
    <row r="102" spans="1:15" ht="21.75" customHeight="1">
      <c r="A102" s="11">
        <v>93</v>
      </c>
      <c r="B102" s="12">
        <v>1884</v>
      </c>
      <c r="C102" s="14" t="s">
        <v>409</v>
      </c>
      <c r="D102" s="18" t="s">
        <v>416</v>
      </c>
      <c r="E102" s="11" t="s">
        <v>31</v>
      </c>
      <c r="F102" s="20" t="s">
        <v>34</v>
      </c>
      <c r="G102" s="23">
        <v>0</v>
      </c>
      <c r="H102" s="27">
        <v>0</v>
      </c>
      <c r="I102" s="27">
        <v>0</v>
      </c>
      <c r="J102" s="27">
        <v>0</v>
      </c>
      <c r="K102" s="30"/>
      <c r="L102" s="35" t="str">
        <f t="shared" si="0"/>
        <v/>
      </c>
      <c r="M102" s="36"/>
      <c r="N102" s="20" t="s">
        <v>48</v>
      </c>
      <c r="O102" s="20" t="s">
        <v>48</v>
      </c>
    </row>
    <row r="103" spans="1:15" ht="21.75" customHeight="1">
      <c r="A103" s="16">
        <v>94</v>
      </c>
      <c r="B103" s="39">
        <v>1885</v>
      </c>
      <c r="C103" s="40" t="s">
        <v>409</v>
      </c>
      <c r="D103" s="41" t="s">
        <v>417</v>
      </c>
      <c r="E103" s="16" t="s">
        <v>31</v>
      </c>
      <c r="F103" s="42" t="s">
        <v>34</v>
      </c>
      <c r="G103" s="43">
        <v>0</v>
      </c>
      <c r="H103" s="44">
        <v>0</v>
      </c>
      <c r="I103" s="44">
        <v>0</v>
      </c>
      <c r="J103" s="44">
        <v>0</v>
      </c>
      <c r="K103" s="30"/>
      <c r="L103" s="35" t="str">
        <f t="shared" si="0"/>
        <v/>
      </c>
      <c r="M103" s="36"/>
      <c r="N103" s="20" t="s">
        <v>48</v>
      </c>
      <c r="O103" s="20" t="s">
        <v>48</v>
      </c>
    </row>
    <row r="104" spans="1:15" ht="21.75" customHeight="1">
      <c r="A104" s="11">
        <v>95</v>
      </c>
      <c r="B104" s="12">
        <v>1886</v>
      </c>
      <c r="C104" s="14" t="s">
        <v>409</v>
      </c>
      <c r="D104" s="18" t="s">
        <v>418</v>
      </c>
      <c r="E104" s="11" t="s">
        <v>31</v>
      </c>
      <c r="F104" s="20" t="s">
        <v>34</v>
      </c>
      <c r="G104" s="23">
        <v>0</v>
      </c>
      <c r="H104" s="27">
        <v>0</v>
      </c>
      <c r="I104" s="27">
        <v>0</v>
      </c>
      <c r="J104" s="27">
        <v>0</v>
      </c>
      <c r="K104" s="30"/>
      <c r="L104" s="35" t="str">
        <f t="shared" si="0"/>
        <v/>
      </c>
      <c r="M104" s="36"/>
      <c r="N104" s="20" t="s">
        <v>48</v>
      </c>
      <c r="O104" s="20" t="s">
        <v>48</v>
      </c>
    </row>
    <row r="105" spans="1:15" ht="21.75" customHeight="1">
      <c r="A105" s="16">
        <v>96</v>
      </c>
      <c r="B105" s="39">
        <v>1887</v>
      </c>
      <c r="C105" s="40" t="s">
        <v>409</v>
      </c>
      <c r="D105" s="41" t="s">
        <v>419</v>
      </c>
      <c r="E105" s="16" t="s">
        <v>31</v>
      </c>
      <c r="F105" s="42" t="s">
        <v>34</v>
      </c>
      <c r="G105" s="43">
        <v>180</v>
      </c>
      <c r="H105" s="44">
        <v>20</v>
      </c>
      <c r="I105" s="44">
        <v>20</v>
      </c>
      <c r="J105" s="44">
        <v>0</v>
      </c>
      <c r="K105" s="30"/>
      <c r="L105" s="35" t="str">
        <f t="shared" si="0"/>
        <v/>
      </c>
      <c r="M105" s="36"/>
      <c r="N105" s="20" t="s">
        <v>48</v>
      </c>
      <c r="O105" s="20" t="s">
        <v>48</v>
      </c>
    </row>
    <row r="106" spans="1:15" ht="21.75" customHeight="1">
      <c r="A106" s="11">
        <v>97</v>
      </c>
      <c r="B106" s="12">
        <v>1888</v>
      </c>
      <c r="C106" s="14" t="s">
        <v>409</v>
      </c>
      <c r="D106" s="18" t="s">
        <v>421</v>
      </c>
      <c r="E106" s="11" t="s">
        <v>31</v>
      </c>
      <c r="F106" s="20" t="s">
        <v>34</v>
      </c>
      <c r="G106" s="23">
        <v>0</v>
      </c>
      <c r="H106" s="27">
        <v>0</v>
      </c>
      <c r="I106" s="27">
        <v>0</v>
      </c>
      <c r="J106" s="27">
        <v>0</v>
      </c>
      <c r="K106" s="30"/>
      <c r="L106" s="35" t="str">
        <f t="shared" si="0"/>
        <v/>
      </c>
      <c r="M106" s="36"/>
      <c r="N106" s="20" t="s">
        <v>48</v>
      </c>
      <c r="O106" s="20" t="s">
        <v>48</v>
      </c>
    </row>
    <row r="107" spans="1:15" ht="21.75" customHeight="1">
      <c r="A107" s="16">
        <v>98</v>
      </c>
      <c r="B107" s="39">
        <v>1889</v>
      </c>
      <c r="C107" s="40" t="s">
        <v>409</v>
      </c>
      <c r="D107" s="41" t="s">
        <v>424</v>
      </c>
      <c r="E107" s="16" t="s">
        <v>31</v>
      </c>
      <c r="F107" s="42" t="s">
        <v>34</v>
      </c>
      <c r="G107" s="43">
        <v>0</v>
      </c>
      <c r="H107" s="44">
        <v>0</v>
      </c>
      <c r="I107" s="44">
        <v>0</v>
      </c>
      <c r="J107" s="44">
        <v>0</v>
      </c>
      <c r="K107" s="30"/>
      <c r="L107" s="35" t="str">
        <f t="shared" si="0"/>
        <v/>
      </c>
      <c r="M107" s="36"/>
      <c r="N107" s="20" t="s">
        <v>48</v>
      </c>
      <c r="O107" s="20" t="s">
        <v>48</v>
      </c>
    </row>
    <row r="108" spans="1:15" ht="21.75" customHeight="1">
      <c r="A108" s="11">
        <v>99</v>
      </c>
      <c r="B108" s="12">
        <v>1890</v>
      </c>
      <c r="C108" s="14" t="s">
        <v>409</v>
      </c>
      <c r="D108" s="18" t="s">
        <v>426</v>
      </c>
      <c r="E108" s="11" t="s">
        <v>31</v>
      </c>
      <c r="F108" s="20" t="s">
        <v>34</v>
      </c>
      <c r="G108" s="23">
        <v>0</v>
      </c>
      <c r="H108" s="27">
        <v>0</v>
      </c>
      <c r="I108" s="27">
        <v>0</v>
      </c>
      <c r="J108" s="27">
        <v>0</v>
      </c>
      <c r="K108" s="30"/>
      <c r="L108" s="35" t="str">
        <f t="shared" si="0"/>
        <v/>
      </c>
      <c r="M108" s="36"/>
      <c r="N108" s="20" t="s">
        <v>48</v>
      </c>
      <c r="O108" s="20" t="s">
        <v>48</v>
      </c>
    </row>
    <row r="109" spans="1:15" ht="21.75" customHeight="1">
      <c r="A109" s="16">
        <v>100</v>
      </c>
      <c r="B109" s="39">
        <v>1891</v>
      </c>
      <c r="C109" s="40" t="s">
        <v>409</v>
      </c>
      <c r="D109" s="41" t="s">
        <v>427</v>
      </c>
      <c r="E109" s="16" t="s">
        <v>31</v>
      </c>
      <c r="F109" s="42" t="s">
        <v>34</v>
      </c>
      <c r="G109" s="43">
        <v>0</v>
      </c>
      <c r="H109" s="44">
        <v>0</v>
      </c>
      <c r="I109" s="44">
        <v>0</v>
      </c>
      <c r="J109" s="44">
        <v>0</v>
      </c>
      <c r="K109" s="30"/>
      <c r="L109" s="35" t="str">
        <f t="shared" si="0"/>
        <v/>
      </c>
      <c r="M109" s="36"/>
      <c r="N109" s="20" t="s">
        <v>48</v>
      </c>
      <c r="O109" s="20" t="s">
        <v>48</v>
      </c>
    </row>
    <row r="110" spans="1:15" ht="21.75" customHeight="1">
      <c r="A110" s="11">
        <v>101</v>
      </c>
      <c r="B110" s="12">
        <v>1910</v>
      </c>
      <c r="C110" s="14" t="s">
        <v>409</v>
      </c>
      <c r="D110" s="18" t="s">
        <v>428</v>
      </c>
      <c r="E110" s="11" t="s">
        <v>31</v>
      </c>
      <c r="F110" s="20" t="s">
        <v>34</v>
      </c>
      <c r="G110" s="23">
        <v>0</v>
      </c>
      <c r="H110" s="27">
        <v>0</v>
      </c>
      <c r="I110" s="27">
        <v>0</v>
      </c>
      <c r="J110" s="27">
        <v>0</v>
      </c>
      <c r="K110" s="30"/>
      <c r="L110" s="35" t="str">
        <f t="shared" si="0"/>
        <v/>
      </c>
      <c r="M110" s="36"/>
      <c r="N110" s="20" t="s">
        <v>48</v>
      </c>
      <c r="O110" s="20" t="s">
        <v>48</v>
      </c>
    </row>
    <row r="111" spans="1:15" ht="21.75" customHeight="1">
      <c r="A111" s="16">
        <v>102</v>
      </c>
      <c r="B111" s="39">
        <v>1911</v>
      </c>
      <c r="C111" s="40" t="s">
        <v>409</v>
      </c>
      <c r="D111" s="41" t="s">
        <v>429</v>
      </c>
      <c r="E111" s="16" t="s">
        <v>31</v>
      </c>
      <c r="F111" s="42" t="s">
        <v>34</v>
      </c>
      <c r="G111" s="43">
        <v>0</v>
      </c>
      <c r="H111" s="44">
        <v>0</v>
      </c>
      <c r="I111" s="44">
        <v>0</v>
      </c>
      <c r="J111" s="44">
        <v>0</v>
      </c>
      <c r="K111" s="30"/>
      <c r="L111" s="35" t="str">
        <f t="shared" si="0"/>
        <v/>
      </c>
      <c r="M111" s="36"/>
      <c r="N111" s="20" t="s">
        <v>48</v>
      </c>
      <c r="O111" s="20" t="s">
        <v>48</v>
      </c>
    </row>
    <row r="112" spans="1:15" ht="21.75" customHeight="1">
      <c r="A112" s="11">
        <v>103</v>
      </c>
      <c r="B112" s="12">
        <v>1912</v>
      </c>
      <c r="C112" s="14" t="s">
        <v>409</v>
      </c>
      <c r="D112" s="18" t="s">
        <v>430</v>
      </c>
      <c r="E112" s="11" t="s">
        <v>31</v>
      </c>
      <c r="F112" s="20" t="s">
        <v>34</v>
      </c>
      <c r="G112" s="23">
        <v>0</v>
      </c>
      <c r="H112" s="27">
        <v>0</v>
      </c>
      <c r="I112" s="27">
        <v>0</v>
      </c>
      <c r="J112" s="27">
        <v>0</v>
      </c>
      <c r="K112" s="30"/>
      <c r="L112" s="35" t="str">
        <f t="shared" si="0"/>
        <v/>
      </c>
      <c r="M112" s="36"/>
      <c r="N112" s="20" t="s">
        <v>48</v>
      </c>
      <c r="O112" s="20" t="s">
        <v>48</v>
      </c>
    </row>
    <row r="113" spans="1:15" ht="21.75" customHeight="1">
      <c r="A113" s="16">
        <v>104</v>
      </c>
      <c r="B113" s="39">
        <v>1913</v>
      </c>
      <c r="C113" s="40" t="s">
        <v>409</v>
      </c>
      <c r="D113" s="41" t="s">
        <v>431</v>
      </c>
      <c r="E113" s="16" t="s">
        <v>31</v>
      </c>
      <c r="F113" s="42" t="s">
        <v>34</v>
      </c>
      <c r="G113" s="43">
        <v>0</v>
      </c>
      <c r="H113" s="44">
        <v>0</v>
      </c>
      <c r="I113" s="44">
        <v>0</v>
      </c>
      <c r="J113" s="44">
        <v>0</v>
      </c>
      <c r="K113" s="30"/>
      <c r="L113" s="35" t="str">
        <f t="shared" si="0"/>
        <v/>
      </c>
      <c r="M113" s="36"/>
      <c r="N113" s="20" t="s">
        <v>48</v>
      </c>
      <c r="O113" s="20" t="s">
        <v>48</v>
      </c>
    </row>
    <row r="114" spans="1:15" ht="21.75" customHeight="1">
      <c r="A114" s="11">
        <v>105</v>
      </c>
      <c r="B114" s="12">
        <v>1914</v>
      </c>
      <c r="C114" s="14" t="s">
        <v>409</v>
      </c>
      <c r="D114" s="18" t="s">
        <v>432</v>
      </c>
      <c r="E114" s="11" t="s">
        <v>31</v>
      </c>
      <c r="F114" s="20" t="s">
        <v>34</v>
      </c>
      <c r="G114" s="23">
        <v>0</v>
      </c>
      <c r="H114" s="27">
        <v>0</v>
      </c>
      <c r="I114" s="27">
        <v>0</v>
      </c>
      <c r="J114" s="27">
        <v>0</v>
      </c>
      <c r="K114" s="30"/>
      <c r="L114" s="35" t="str">
        <f t="shared" si="0"/>
        <v/>
      </c>
      <c r="M114" s="36"/>
      <c r="N114" s="20" t="s">
        <v>48</v>
      </c>
      <c r="O114" s="20" t="s">
        <v>48</v>
      </c>
    </row>
    <row r="115" spans="1:15" ht="21.75" customHeight="1">
      <c r="A115" s="16">
        <v>106</v>
      </c>
      <c r="B115" s="39">
        <v>1915</v>
      </c>
      <c r="C115" s="40" t="s">
        <v>409</v>
      </c>
      <c r="D115" s="41" t="s">
        <v>433</v>
      </c>
      <c r="E115" s="16" t="s">
        <v>31</v>
      </c>
      <c r="F115" s="42" t="s">
        <v>34</v>
      </c>
      <c r="G115" s="43">
        <v>0</v>
      </c>
      <c r="H115" s="44">
        <v>0</v>
      </c>
      <c r="I115" s="44">
        <v>0</v>
      </c>
      <c r="J115" s="44">
        <v>0</v>
      </c>
      <c r="K115" s="30"/>
      <c r="L115" s="35" t="str">
        <f t="shared" si="0"/>
        <v/>
      </c>
      <c r="M115" s="36"/>
      <c r="N115" s="20" t="s">
        <v>48</v>
      </c>
      <c r="O115" s="20" t="s">
        <v>48</v>
      </c>
    </row>
    <row r="116" spans="1:15" ht="21.75" customHeight="1">
      <c r="A116" s="11">
        <v>107</v>
      </c>
      <c r="B116" s="12">
        <v>1916</v>
      </c>
      <c r="C116" s="14" t="s">
        <v>409</v>
      </c>
      <c r="D116" s="18" t="s">
        <v>435</v>
      </c>
      <c r="E116" s="11" t="s">
        <v>31</v>
      </c>
      <c r="F116" s="20" t="s">
        <v>34</v>
      </c>
      <c r="G116" s="23">
        <v>0</v>
      </c>
      <c r="H116" s="27">
        <v>0</v>
      </c>
      <c r="I116" s="27">
        <v>0</v>
      </c>
      <c r="J116" s="27">
        <v>0</v>
      </c>
      <c r="K116" s="30"/>
      <c r="L116" s="35" t="str">
        <f t="shared" si="0"/>
        <v/>
      </c>
      <c r="M116" s="36"/>
      <c r="N116" s="20" t="s">
        <v>48</v>
      </c>
      <c r="O116" s="20" t="s">
        <v>48</v>
      </c>
    </row>
    <row r="117" spans="1:15" ht="21.75" customHeight="1">
      <c r="A117" s="16">
        <v>108</v>
      </c>
      <c r="B117" s="39">
        <v>1917</v>
      </c>
      <c r="C117" s="40" t="s">
        <v>409</v>
      </c>
      <c r="D117" s="41" t="s">
        <v>436</v>
      </c>
      <c r="E117" s="16" t="s">
        <v>31</v>
      </c>
      <c r="F117" s="42" t="s">
        <v>34</v>
      </c>
      <c r="G117" s="43">
        <v>0</v>
      </c>
      <c r="H117" s="44">
        <v>0</v>
      </c>
      <c r="I117" s="44">
        <v>0</v>
      </c>
      <c r="J117" s="44">
        <v>0</v>
      </c>
      <c r="K117" s="30"/>
      <c r="L117" s="35" t="str">
        <f t="shared" si="0"/>
        <v/>
      </c>
      <c r="M117" s="36"/>
      <c r="N117" s="20" t="s">
        <v>48</v>
      </c>
      <c r="O117" s="20" t="s">
        <v>48</v>
      </c>
    </row>
    <row r="118" spans="1:15" ht="21.75" customHeight="1">
      <c r="A118" s="11">
        <v>109</v>
      </c>
      <c r="B118" s="12">
        <v>1918</v>
      </c>
      <c r="C118" s="14" t="s">
        <v>409</v>
      </c>
      <c r="D118" s="18" t="s">
        <v>437</v>
      </c>
      <c r="E118" s="11" t="s">
        <v>31</v>
      </c>
      <c r="F118" s="20" t="s">
        <v>34</v>
      </c>
      <c r="G118" s="23">
        <v>0</v>
      </c>
      <c r="H118" s="27">
        <v>0</v>
      </c>
      <c r="I118" s="27">
        <v>0</v>
      </c>
      <c r="J118" s="27">
        <v>0</v>
      </c>
      <c r="K118" s="30"/>
      <c r="L118" s="35" t="str">
        <f t="shared" si="0"/>
        <v/>
      </c>
      <c r="M118" s="36"/>
      <c r="N118" s="20" t="s">
        <v>48</v>
      </c>
      <c r="O118" s="20" t="s">
        <v>48</v>
      </c>
    </row>
    <row r="119" spans="1:15" ht="21.75" customHeight="1">
      <c r="A119" s="16">
        <v>110</v>
      </c>
      <c r="B119" s="39">
        <v>1919</v>
      </c>
      <c r="C119" s="40" t="s">
        <v>409</v>
      </c>
      <c r="D119" s="41" t="s">
        <v>438</v>
      </c>
      <c r="E119" s="16" t="s">
        <v>31</v>
      </c>
      <c r="F119" s="42" t="s">
        <v>34</v>
      </c>
      <c r="G119" s="43">
        <v>0</v>
      </c>
      <c r="H119" s="44">
        <v>0</v>
      </c>
      <c r="I119" s="44">
        <v>0</v>
      </c>
      <c r="J119" s="44">
        <v>0</v>
      </c>
      <c r="K119" s="30"/>
      <c r="L119" s="35" t="str">
        <f t="shared" si="0"/>
        <v/>
      </c>
      <c r="M119" s="36"/>
      <c r="N119" s="20" t="s">
        <v>48</v>
      </c>
      <c r="O119" s="20" t="s">
        <v>48</v>
      </c>
    </row>
    <row r="120" spans="1:15" ht="21.75" customHeight="1">
      <c r="A120" s="11">
        <v>111</v>
      </c>
      <c r="B120" s="12">
        <v>1920</v>
      </c>
      <c r="C120" s="14" t="s">
        <v>409</v>
      </c>
      <c r="D120" s="18" t="s">
        <v>439</v>
      </c>
      <c r="E120" s="11" t="s">
        <v>31</v>
      </c>
      <c r="F120" s="20" t="s">
        <v>34</v>
      </c>
      <c r="G120" s="23">
        <v>0</v>
      </c>
      <c r="H120" s="27">
        <v>0</v>
      </c>
      <c r="I120" s="27">
        <v>0</v>
      </c>
      <c r="J120" s="27">
        <v>0</v>
      </c>
      <c r="K120" s="30"/>
      <c r="L120" s="35" t="str">
        <f t="shared" si="0"/>
        <v/>
      </c>
      <c r="M120" s="36"/>
      <c r="N120" s="20" t="s">
        <v>48</v>
      </c>
      <c r="O120" s="20" t="s">
        <v>48</v>
      </c>
    </row>
    <row r="121" spans="1:15" ht="21.75" customHeight="1">
      <c r="A121" s="16">
        <v>112</v>
      </c>
      <c r="B121" s="39">
        <v>1921</v>
      </c>
      <c r="C121" s="40" t="s">
        <v>409</v>
      </c>
      <c r="D121" s="41" t="s">
        <v>440</v>
      </c>
      <c r="E121" s="16" t="s">
        <v>31</v>
      </c>
      <c r="F121" s="42" t="s">
        <v>34</v>
      </c>
      <c r="G121" s="43">
        <v>0</v>
      </c>
      <c r="H121" s="44">
        <v>0</v>
      </c>
      <c r="I121" s="44">
        <v>0</v>
      </c>
      <c r="J121" s="44">
        <v>0</v>
      </c>
      <c r="K121" s="30"/>
      <c r="L121" s="35" t="str">
        <f t="shared" si="0"/>
        <v/>
      </c>
      <c r="M121" s="36"/>
      <c r="N121" s="20" t="s">
        <v>48</v>
      </c>
      <c r="O121" s="20" t="s">
        <v>48</v>
      </c>
    </row>
    <row r="122" spans="1:15" ht="21.75" customHeight="1">
      <c r="A122" s="11">
        <v>113</v>
      </c>
      <c r="B122" s="12">
        <v>1922</v>
      </c>
      <c r="C122" s="14" t="s">
        <v>409</v>
      </c>
      <c r="D122" s="18" t="s">
        <v>441</v>
      </c>
      <c r="E122" s="11" t="s">
        <v>31</v>
      </c>
      <c r="F122" s="20" t="s">
        <v>34</v>
      </c>
      <c r="G122" s="23">
        <v>0</v>
      </c>
      <c r="H122" s="27">
        <v>0</v>
      </c>
      <c r="I122" s="27">
        <v>0</v>
      </c>
      <c r="J122" s="27">
        <v>0</v>
      </c>
      <c r="K122" s="30"/>
      <c r="L122" s="35" t="str">
        <f t="shared" si="0"/>
        <v/>
      </c>
      <c r="M122" s="36"/>
      <c r="N122" s="20" t="s">
        <v>48</v>
      </c>
      <c r="O122" s="20" t="s">
        <v>48</v>
      </c>
    </row>
    <row r="123" spans="1:15" ht="21.75" customHeight="1">
      <c r="A123" s="16">
        <v>114</v>
      </c>
      <c r="B123" s="39">
        <v>1923</v>
      </c>
      <c r="C123" s="40" t="s">
        <v>409</v>
      </c>
      <c r="D123" s="41" t="s">
        <v>442</v>
      </c>
      <c r="E123" s="16" t="s">
        <v>31</v>
      </c>
      <c r="F123" s="42" t="s">
        <v>34</v>
      </c>
      <c r="G123" s="43">
        <v>0</v>
      </c>
      <c r="H123" s="44">
        <v>0</v>
      </c>
      <c r="I123" s="44">
        <v>0</v>
      </c>
      <c r="J123" s="44">
        <v>0</v>
      </c>
      <c r="K123" s="30"/>
      <c r="L123" s="35" t="str">
        <f t="shared" si="0"/>
        <v/>
      </c>
      <c r="M123" s="36"/>
      <c r="N123" s="20" t="s">
        <v>48</v>
      </c>
      <c r="O123" s="20" t="s">
        <v>48</v>
      </c>
    </row>
    <row r="124" spans="1:15" ht="21.75" customHeight="1">
      <c r="A124" s="11">
        <v>115</v>
      </c>
      <c r="B124" s="12">
        <v>1924</v>
      </c>
      <c r="C124" s="14" t="s">
        <v>409</v>
      </c>
      <c r="D124" s="18" t="s">
        <v>443</v>
      </c>
      <c r="E124" s="11" t="s">
        <v>31</v>
      </c>
      <c r="F124" s="20" t="s">
        <v>34</v>
      </c>
      <c r="G124" s="23">
        <v>0</v>
      </c>
      <c r="H124" s="27">
        <v>0</v>
      </c>
      <c r="I124" s="27">
        <v>0</v>
      </c>
      <c r="J124" s="27">
        <v>0</v>
      </c>
      <c r="K124" s="30"/>
      <c r="L124" s="35" t="str">
        <f t="shared" si="0"/>
        <v/>
      </c>
      <c r="M124" s="36"/>
      <c r="N124" s="20" t="s">
        <v>48</v>
      </c>
      <c r="O124" s="20" t="s">
        <v>48</v>
      </c>
    </row>
    <row r="125" spans="1:15" ht="21.75" customHeight="1">
      <c r="A125" s="16">
        <v>116</v>
      </c>
      <c r="B125" s="39">
        <v>1925</v>
      </c>
      <c r="C125" s="40" t="s">
        <v>409</v>
      </c>
      <c r="D125" s="41" t="s">
        <v>444</v>
      </c>
      <c r="E125" s="16" t="s">
        <v>31</v>
      </c>
      <c r="F125" s="42" t="s">
        <v>34</v>
      </c>
      <c r="G125" s="43">
        <v>0</v>
      </c>
      <c r="H125" s="44">
        <v>0</v>
      </c>
      <c r="I125" s="44">
        <v>0</v>
      </c>
      <c r="J125" s="44">
        <v>0</v>
      </c>
      <c r="K125" s="30"/>
      <c r="L125" s="35" t="str">
        <f t="shared" si="0"/>
        <v/>
      </c>
      <c r="M125" s="36"/>
      <c r="N125" s="20" t="s">
        <v>48</v>
      </c>
      <c r="O125" s="20" t="s">
        <v>48</v>
      </c>
    </row>
    <row r="126" spans="1:15" ht="21.75" customHeight="1">
      <c r="A126" s="11">
        <v>117</v>
      </c>
      <c r="B126" s="12">
        <v>1926</v>
      </c>
      <c r="C126" s="14" t="s">
        <v>409</v>
      </c>
      <c r="D126" s="18" t="s">
        <v>445</v>
      </c>
      <c r="E126" s="11" t="s">
        <v>31</v>
      </c>
      <c r="F126" s="20" t="s">
        <v>34</v>
      </c>
      <c r="G126" s="23">
        <v>0</v>
      </c>
      <c r="H126" s="27">
        <v>0</v>
      </c>
      <c r="I126" s="27">
        <v>0</v>
      </c>
      <c r="J126" s="27">
        <v>0</v>
      </c>
      <c r="K126" s="30"/>
      <c r="L126" s="35" t="str">
        <f t="shared" si="0"/>
        <v/>
      </c>
      <c r="M126" s="36"/>
      <c r="N126" s="20" t="s">
        <v>48</v>
      </c>
      <c r="O126" s="20" t="s">
        <v>48</v>
      </c>
    </row>
    <row r="127" spans="1:15" ht="21.75" customHeight="1">
      <c r="A127" s="16">
        <v>118</v>
      </c>
      <c r="B127" s="39">
        <v>1927</v>
      </c>
      <c r="C127" s="40" t="s">
        <v>409</v>
      </c>
      <c r="D127" s="41" t="s">
        <v>446</v>
      </c>
      <c r="E127" s="16" t="s">
        <v>31</v>
      </c>
      <c r="F127" s="42" t="s">
        <v>34</v>
      </c>
      <c r="G127" s="43">
        <v>0</v>
      </c>
      <c r="H127" s="44">
        <v>0</v>
      </c>
      <c r="I127" s="44">
        <v>0</v>
      </c>
      <c r="J127" s="44">
        <v>0</v>
      </c>
      <c r="K127" s="30"/>
      <c r="L127" s="35" t="str">
        <f t="shared" si="0"/>
        <v/>
      </c>
      <c r="M127" s="36"/>
      <c r="N127" s="20" t="s">
        <v>48</v>
      </c>
      <c r="O127" s="20" t="s">
        <v>48</v>
      </c>
    </row>
    <row r="128" spans="1:15" ht="21.75" customHeight="1">
      <c r="A128" s="11">
        <v>119</v>
      </c>
      <c r="B128" s="12">
        <v>1928</v>
      </c>
      <c r="C128" s="14" t="s">
        <v>409</v>
      </c>
      <c r="D128" s="18" t="s">
        <v>447</v>
      </c>
      <c r="E128" s="11" t="s">
        <v>31</v>
      </c>
      <c r="F128" s="20" t="s">
        <v>34</v>
      </c>
      <c r="G128" s="23">
        <v>0</v>
      </c>
      <c r="H128" s="27">
        <v>0</v>
      </c>
      <c r="I128" s="27">
        <v>0</v>
      </c>
      <c r="J128" s="27">
        <v>0</v>
      </c>
      <c r="K128" s="30"/>
      <c r="L128" s="35" t="str">
        <f t="shared" si="0"/>
        <v/>
      </c>
      <c r="M128" s="36"/>
      <c r="N128" s="20" t="s">
        <v>48</v>
      </c>
      <c r="O128" s="20" t="s">
        <v>48</v>
      </c>
    </row>
    <row r="129" spans="1:15" ht="21.75" customHeight="1">
      <c r="A129" s="16">
        <v>120</v>
      </c>
      <c r="B129" s="39">
        <v>1929</v>
      </c>
      <c r="C129" s="40" t="s">
        <v>409</v>
      </c>
      <c r="D129" s="41" t="s">
        <v>448</v>
      </c>
      <c r="E129" s="16" t="s">
        <v>31</v>
      </c>
      <c r="F129" s="42" t="s">
        <v>34</v>
      </c>
      <c r="G129" s="43">
        <v>0</v>
      </c>
      <c r="H129" s="44">
        <v>0</v>
      </c>
      <c r="I129" s="44">
        <v>0</v>
      </c>
      <c r="J129" s="44">
        <v>0</v>
      </c>
      <c r="K129" s="30"/>
      <c r="L129" s="35" t="str">
        <f t="shared" si="0"/>
        <v/>
      </c>
      <c r="M129" s="36"/>
      <c r="N129" s="20" t="s">
        <v>48</v>
      </c>
      <c r="O129" s="20" t="s">
        <v>48</v>
      </c>
    </row>
    <row r="130" spans="1:15" ht="21.75" customHeight="1">
      <c r="A130" s="11">
        <v>121</v>
      </c>
      <c r="B130" s="12">
        <v>1930</v>
      </c>
      <c r="C130" s="14" t="s">
        <v>409</v>
      </c>
      <c r="D130" s="18" t="s">
        <v>449</v>
      </c>
      <c r="E130" s="11" t="s">
        <v>31</v>
      </c>
      <c r="F130" s="20" t="s">
        <v>34</v>
      </c>
      <c r="G130" s="23">
        <v>0</v>
      </c>
      <c r="H130" s="27">
        <v>0</v>
      </c>
      <c r="I130" s="27">
        <v>0</v>
      </c>
      <c r="J130" s="27">
        <v>0</v>
      </c>
      <c r="K130" s="30"/>
      <c r="L130" s="35" t="str">
        <f t="shared" si="0"/>
        <v/>
      </c>
      <c r="M130" s="36"/>
      <c r="N130" s="20" t="s">
        <v>48</v>
      </c>
      <c r="O130" s="20" t="s">
        <v>48</v>
      </c>
    </row>
    <row r="131" spans="1:15" ht="21.75" customHeight="1">
      <c r="A131" s="16">
        <v>122</v>
      </c>
      <c r="B131" s="39">
        <v>1931</v>
      </c>
      <c r="C131" s="40" t="s">
        <v>409</v>
      </c>
      <c r="D131" s="41" t="s">
        <v>450</v>
      </c>
      <c r="E131" s="16" t="s">
        <v>31</v>
      </c>
      <c r="F131" s="42" t="s">
        <v>34</v>
      </c>
      <c r="G131" s="43">
        <v>0</v>
      </c>
      <c r="H131" s="44">
        <v>0</v>
      </c>
      <c r="I131" s="44">
        <v>0</v>
      </c>
      <c r="J131" s="44">
        <v>0</v>
      </c>
      <c r="K131" s="30"/>
      <c r="L131" s="35" t="str">
        <f t="shared" si="0"/>
        <v/>
      </c>
      <c r="M131" s="36"/>
      <c r="N131" s="20" t="s">
        <v>48</v>
      </c>
      <c r="O131" s="20" t="s">
        <v>48</v>
      </c>
    </row>
    <row r="132" spans="1:15" ht="21.75" customHeight="1">
      <c r="A132" s="11">
        <v>123</v>
      </c>
      <c r="B132" s="12">
        <v>2368</v>
      </c>
      <c r="C132" s="14" t="s">
        <v>409</v>
      </c>
      <c r="D132" s="18" t="s">
        <v>451</v>
      </c>
      <c r="E132" s="11" t="s">
        <v>31</v>
      </c>
      <c r="F132" s="20" t="s">
        <v>34</v>
      </c>
      <c r="G132" s="23">
        <v>0</v>
      </c>
      <c r="H132" s="27">
        <v>0</v>
      </c>
      <c r="I132" s="27">
        <v>0</v>
      </c>
      <c r="J132" s="27">
        <v>0</v>
      </c>
      <c r="K132" s="30"/>
      <c r="L132" s="35" t="str">
        <f t="shared" si="0"/>
        <v/>
      </c>
      <c r="M132" s="36"/>
      <c r="N132" s="20" t="s">
        <v>48</v>
      </c>
      <c r="O132" s="20" t="s">
        <v>48</v>
      </c>
    </row>
    <row r="133" spans="1:15" ht="21.75" customHeight="1">
      <c r="A133" s="16">
        <v>124</v>
      </c>
      <c r="B133" s="39">
        <v>2369</v>
      </c>
      <c r="C133" s="40" t="s">
        <v>409</v>
      </c>
      <c r="D133" s="41" t="s">
        <v>452</v>
      </c>
      <c r="E133" s="16" t="s">
        <v>31</v>
      </c>
      <c r="F133" s="42" t="s">
        <v>34</v>
      </c>
      <c r="G133" s="43">
        <v>0</v>
      </c>
      <c r="H133" s="44">
        <v>0</v>
      </c>
      <c r="I133" s="44">
        <v>0</v>
      </c>
      <c r="J133" s="44">
        <v>0</v>
      </c>
      <c r="K133" s="30"/>
      <c r="L133" s="35" t="str">
        <f t="shared" si="0"/>
        <v/>
      </c>
      <c r="M133" s="36"/>
      <c r="N133" s="20" t="s">
        <v>48</v>
      </c>
      <c r="O133" s="20" t="s">
        <v>48</v>
      </c>
    </row>
    <row r="134" spans="1:15" ht="21.75" customHeight="1">
      <c r="A134" s="11">
        <v>125</v>
      </c>
      <c r="B134" s="12">
        <v>2379</v>
      </c>
      <c r="C134" s="14" t="s">
        <v>453</v>
      </c>
      <c r="D134" s="18" t="s">
        <v>454</v>
      </c>
      <c r="E134" s="11" t="s">
        <v>334</v>
      </c>
      <c r="F134" s="20" t="s">
        <v>34</v>
      </c>
      <c r="G134" s="23">
        <v>0</v>
      </c>
      <c r="H134" s="27">
        <v>0</v>
      </c>
      <c r="I134" s="27">
        <v>0</v>
      </c>
      <c r="J134" s="27">
        <v>0</v>
      </c>
      <c r="K134" s="30"/>
      <c r="L134" s="35" t="str">
        <f t="shared" si="0"/>
        <v/>
      </c>
      <c r="M134" s="36"/>
      <c r="N134" s="20" t="s">
        <v>48</v>
      </c>
      <c r="O134" s="20" t="s">
        <v>48</v>
      </c>
    </row>
    <row r="135" spans="1:15" ht="21.75" customHeight="1">
      <c r="A135" s="16">
        <v>126</v>
      </c>
      <c r="B135" s="39">
        <v>2431</v>
      </c>
      <c r="C135" s="40" t="s">
        <v>453</v>
      </c>
      <c r="D135" s="41" t="s">
        <v>455</v>
      </c>
      <c r="E135" s="16" t="s">
        <v>334</v>
      </c>
      <c r="F135" s="42" t="s">
        <v>34</v>
      </c>
      <c r="G135" s="43">
        <v>0</v>
      </c>
      <c r="H135" s="44">
        <v>0</v>
      </c>
      <c r="I135" s="44">
        <v>0</v>
      </c>
      <c r="J135" s="44">
        <v>0</v>
      </c>
      <c r="K135" s="30"/>
      <c r="L135" s="35" t="str">
        <f t="shared" si="0"/>
        <v/>
      </c>
      <c r="M135" s="36"/>
      <c r="N135" s="20" t="s">
        <v>48</v>
      </c>
      <c r="O135" s="20" t="s">
        <v>48</v>
      </c>
    </row>
    <row r="136" spans="1:15" ht="21.75" customHeight="1">
      <c r="A136" s="11">
        <v>127</v>
      </c>
      <c r="B136" s="12">
        <v>2429</v>
      </c>
      <c r="C136" s="14" t="s">
        <v>456</v>
      </c>
      <c r="D136" s="18" t="s">
        <v>454</v>
      </c>
      <c r="E136" s="11" t="s">
        <v>37</v>
      </c>
      <c r="F136" s="20" t="s">
        <v>34</v>
      </c>
      <c r="G136" s="23">
        <v>0</v>
      </c>
      <c r="H136" s="27">
        <v>0</v>
      </c>
      <c r="I136" s="27">
        <v>0</v>
      </c>
      <c r="J136" s="27">
        <v>0</v>
      </c>
      <c r="K136" s="30"/>
      <c r="L136" s="35" t="str">
        <f t="shared" si="0"/>
        <v/>
      </c>
      <c r="M136" s="36"/>
      <c r="N136" s="20" t="s">
        <v>48</v>
      </c>
      <c r="O136" s="20" t="s">
        <v>48</v>
      </c>
    </row>
    <row r="137" spans="1:15" ht="21.75" customHeight="1">
      <c r="A137" s="16">
        <v>128</v>
      </c>
      <c r="B137" s="39">
        <v>2430</v>
      </c>
      <c r="C137" s="40" t="s">
        <v>456</v>
      </c>
      <c r="D137" s="41" t="s">
        <v>455</v>
      </c>
      <c r="E137" s="16" t="s">
        <v>37</v>
      </c>
      <c r="F137" s="42" t="s">
        <v>34</v>
      </c>
      <c r="G137" s="43">
        <v>0</v>
      </c>
      <c r="H137" s="44">
        <v>0</v>
      </c>
      <c r="I137" s="44">
        <v>0</v>
      </c>
      <c r="J137" s="44">
        <v>0</v>
      </c>
      <c r="K137" s="30"/>
      <c r="L137" s="35" t="str">
        <f t="shared" si="0"/>
        <v/>
      </c>
      <c r="M137" s="36"/>
      <c r="N137" s="20" t="s">
        <v>48</v>
      </c>
      <c r="O137" s="20" t="s">
        <v>48</v>
      </c>
    </row>
    <row r="138" spans="1:15" ht="21.75" customHeight="1">
      <c r="A138" s="11">
        <v>129</v>
      </c>
      <c r="B138" s="39">
        <v>2432</v>
      </c>
      <c r="C138" s="40" t="s">
        <v>457</v>
      </c>
      <c r="D138" s="41" t="s">
        <v>458</v>
      </c>
      <c r="E138" s="16" t="s">
        <v>111</v>
      </c>
      <c r="F138" s="42" t="s">
        <v>34</v>
      </c>
      <c r="G138" s="43">
        <v>0</v>
      </c>
      <c r="H138" s="44">
        <v>0</v>
      </c>
      <c r="I138" s="44">
        <v>0</v>
      </c>
      <c r="J138" s="44">
        <v>0</v>
      </c>
      <c r="K138" s="30"/>
      <c r="L138" s="35" t="str">
        <f t="shared" si="0"/>
        <v/>
      </c>
      <c r="M138" s="36"/>
      <c r="N138" s="20" t="s">
        <v>48</v>
      </c>
      <c r="O138" s="20" t="s">
        <v>48</v>
      </c>
    </row>
    <row r="139" spans="1:15" ht="21.75" customHeight="1">
      <c r="A139" s="16">
        <v>130</v>
      </c>
      <c r="B139" s="12">
        <v>2435</v>
      </c>
      <c r="C139" s="14" t="s">
        <v>457</v>
      </c>
      <c r="D139" s="18" t="s">
        <v>459</v>
      </c>
      <c r="E139" s="11" t="s">
        <v>111</v>
      </c>
      <c r="F139" s="20" t="s">
        <v>34</v>
      </c>
      <c r="G139" s="23">
        <v>0</v>
      </c>
      <c r="H139" s="27">
        <v>0</v>
      </c>
      <c r="I139" s="27">
        <v>0</v>
      </c>
      <c r="J139" s="27">
        <v>0</v>
      </c>
      <c r="K139" s="30"/>
      <c r="L139" s="35" t="str">
        <f t="shared" si="0"/>
        <v/>
      </c>
      <c r="M139" s="36"/>
      <c r="N139" s="20" t="s">
        <v>48</v>
      </c>
      <c r="O139" s="20" t="s">
        <v>48</v>
      </c>
    </row>
    <row r="140" spans="1:15" ht="21.75" customHeight="1">
      <c r="A140" s="11">
        <v>131</v>
      </c>
      <c r="B140" s="39">
        <v>2436</v>
      </c>
      <c r="C140" s="40" t="s">
        <v>460</v>
      </c>
      <c r="D140" s="41" t="s">
        <v>461</v>
      </c>
      <c r="E140" s="16" t="s">
        <v>111</v>
      </c>
      <c r="F140" s="42" t="s">
        <v>34</v>
      </c>
      <c r="G140" s="43">
        <v>0</v>
      </c>
      <c r="H140" s="44">
        <v>0</v>
      </c>
      <c r="I140" s="44">
        <v>0</v>
      </c>
      <c r="J140" s="44">
        <v>0</v>
      </c>
      <c r="K140" s="30"/>
      <c r="L140" s="35" t="str">
        <f t="shared" si="0"/>
        <v/>
      </c>
      <c r="M140" s="36"/>
      <c r="N140" s="20" t="s">
        <v>48</v>
      </c>
      <c r="O140" s="20" t="s">
        <v>48</v>
      </c>
    </row>
    <row r="141" spans="1:15" ht="21.75" customHeight="1">
      <c r="A141" s="16">
        <v>132</v>
      </c>
      <c r="B141" s="12">
        <v>2438</v>
      </c>
      <c r="C141" s="14" t="s">
        <v>462</v>
      </c>
      <c r="D141" s="18" t="s">
        <v>463</v>
      </c>
      <c r="E141" s="11" t="s">
        <v>111</v>
      </c>
      <c r="F141" s="20" t="s">
        <v>34</v>
      </c>
      <c r="G141" s="23">
        <v>0</v>
      </c>
      <c r="H141" s="27">
        <v>0</v>
      </c>
      <c r="I141" s="27">
        <v>0</v>
      </c>
      <c r="J141" s="27">
        <v>0</v>
      </c>
      <c r="K141" s="30"/>
      <c r="L141" s="35" t="str">
        <f t="shared" si="0"/>
        <v/>
      </c>
      <c r="M141" s="36"/>
      <c r="N141" s="20" t="s">
        <v>48</v>
      </c>
      <c r="O141" s="20" t="s">
        <v>48</v>
      </c>
    </row>
    <row r="142" spans="1:15" ht="21.75" customHeight="1">
      <c r="A142" s="11">
        <v>133</v>
      </c>
      <c r="B142" s="39">
        <v>2439</v>
      </c>
      <c r="C142" s="40" t="s">
        <v>464</v>
      </c>
      <c r="D142" s="41" t="s">
        <v>465</v>
      </c>
      <c r="E142" s="16" t="s">
        <v>111</v>
      </c>
      <c r="F142" s="42" t="s">
        <v>34</v>
      </c>
      <c r="G142" s="43">
        <v>0</v>
      </c>
      <c r="H142" s="44">
        <v>0</v>
      </c>
      <c r="I142" s="44">
        <v>0</v>
      </c>
      <c r="J142" s="44">
        <v>0</v>
      </c>
      <c r="K142" s="30"/>
      <c r="L142" s="35" t="str">
        <f t="shared" si="0"/>
        <v/>
      </c>
      <c r="M142" s="36"/>
      <c r="N142" s="20" t="s">
        <v>48</v>
      </c>
      <c r="O142" s="20" t="s">
        <v>48</v>
      </c>
    </row>
    <row r="143" spans="1:15" ht="21.75" customHeight="1">
      <c r="A143" s="16">
        <v>134</v>
      </c>
      <c r="B143" s="12">
        <v>2437</v>
      </c>
      <c r="C143" s="14" t="s">
        <v>466</v>
      </c>
      <c r="D143" s="18" t="s">
        <v>467</v>
      </c>
      <c r="E143" s="11" t="s">
        <v>307</v>
      </c>
      <c r="F143" s="20" t="s">
        <v>34</v>
      </c>
      <c r="G143" s="23">
        <v>0</v>
      </c>
      <c r="H143" s="27">
        <v>0</v>
      </c>
      <c r="I143" s="27">
        <v>0</v>
      </c>
      <c r="J143" s="27">
        <v>0</v>
      </c>
      <c r="K143" s="30"/>
      <c r="L143" s="35" t="str">
        <f t="shared" si="0"/>
        <v/>
      </c>
      <c r="M143" s="36"/>
      <c r="N143" s="20" t="s">
        <v>48</v>
      </c>
      <c r="O143" s="20" t="s">
        <v>48</v>
      </c>
    </row>
    <row r="144" spans="1:15" ht="21.75" customHeight="1">
      <c r="A144" s="11">
        <v>135</v>
      </c>
      <c r="B144" s="39">
        <v>2412</v>
      </c>
      <c r="C144" s="40" t="s">
        <v>466</v>
      </c>
      <c r="D144" s="41" t="s">
        <v>468</v>
      </c>
      <c r="E144" s="16" t="s">
        <v>307</v>
      </c>
      <c r="F144" s="42" t="s">
        <v>34</v>
      </c>
      <c r="G144" s="43">
        <v>0</v>
      </c>
      <c r="H144" s="44">
        <v>0</v>
      </c>
      <c r="I144" s="44">
        <v>0</v>
      </c>
      <c r="J144" s="44">
        <v>0</v>
      </c>
      <c r="K144" s="30"/>
      <c r="L144" s="35" t="str">
        <f t="shared" si="0"/>
        <v/>
      </c>
      <c r="M144" s="36"/>
      <c r="N144" s="20" t="s">
        <v>48</v>
      </c>
      <c r="O144" s="20" t="s">
        <v>48</v>
      </c>
    </row>
    <row r="145" spans="1:15" ht="21.75" customHeight="1">
      <c r="A145" s="16">
        <v>136</v>
      </c>
      <c r="B145" s="12">
        <v>2420</v>
      </c>
      <c r="C145" s="14" t="s">
        <v>469</v>
      </c>
      <c r="D145" s="18" t="s">
        <v>470</v>
      </c>
      <c r="E145" s="11" t="s">
        <v>307</v>
      </c>
      <c r="F145" s="20" t="s">
        <v>34</v>
      </c>
      <c r="G145" s="23">
        <v>0</v>
      </c>
      <c r="H145" s="27">
        <v>0</v>
      </c>
      <c r="I145" s="27">
        <v>0</v>
      </c>
      <c r="J145" s="27">
        <v>0</v>
      </c>
      <c r="K145" s="30"/>
      <c r="L145" s="35" t="str">
        <f t="shared" si="0"/>
        <v/>
      </c>
      <c r="M145" s="36"/>
      <c r="N145" s="20" t="s">
        <v>48</v>
      </c>
      <c r="O145" s="20" t="s">
        <v>48</v>
      </c>
    </row>
    <row r="146" spans="1:15" ht="21.75" customHeight="1">
      <c r="A146" s="11">
        <v>137</v>
      </c>
      <c r="B146" s="12">
        <v>2402</v>
      </c>
      <c r="C146" s="14" t="s">
        <v>471</v>
      </c>
      <c r="D146" s="18" t="s">
        <v>472</v>
      </c>
      <c r="E146" s="11" t="s">
        <v>473</v>
      </c>
      <c r="F146" s="20" t="s">
        <v>34</v>
      </c>
      <c r="G146" s="23">
        <v>0</v>
      </c>
      <c r="H146" s="27">
        <v>0</v>
      </c>
      <c r="I146" s="27">
        <v>0</v>
      </c>
      <c r="J146" s="27">
        <v>0</v>
      </c>
      <c r="K146" s="30"/>
      <c r="L146" s="35" t="str">
        <f t="shared" si="0"/>
        <v/>
      </c>
      <c r="M146" s="36"/>
      <c r="N146" s="20" t="s">
        <v>48</v>
      </c>
      <c r="O146" s="20" t="s">
        <v>48</v>
      </c>
    </row>
    <row r="147" spans="1:15" ht="21.75" customHeight="1">
      <c r="A147" s="16">
        <v>138</v>
      </c>
      <c r="B147" s="39">
        <v>2421</v>
      </c>
      <c r="C147" s="40" t="s">
        <v>471</v>
      </c>
      <c r="D147" s="41" t="s">
        <v>474</v>
      </c>
      <c r="E147" s="16" t="s">
        <v>307</v>
      </c>
      <c r="F147" s="42" t="s">
        <v>34</v>
      </c>
      <c r="G147" s="43">
        <v>0</v>
      </c>
      <c r="H147" s="44">
        <v>0</v>
      </c>
      <c r="I147" s="44">
        <v>0</v>
      </c>
      <c r="J147" s="44">
        <v>0</v>
      </c>
      <c r="K147" s="30"/>
      <c r="L147" s="35" t="str">
        <f t="shared" si="0"/>
        <v/>
      </c>
      <c r="M147" s="36"/>
      <c r="N147" s="20" t="s">
        <v>48</v>
      </c>
      <c r="O147" s="20" t="s">
        <v>48</v>
      </c>
    </row>
    <row r="148" spans="1:15" ht="21.75" customHeight="1">
      <c r="A148" s="11">
        <v>139</v>
      </c>
      <c r="B148" s="12">
        <v>2423</v>
      </c>
      <c r="C148" s="14" t="s">
        <v>471</v>
      </c>
      <c r="D148" s="18" t="s">
        <v>475</v>
      </c>
      <c r="E148" s="11" t="s">
        <v>307</v>
      </c>
      <c r="F148" s="20" t="s">
        <v>34</v>
      </c>
      <c r="G148" s="23">
        <v>0</v>
      </c>
      <c r="H148" s="27">
        <v>0</v>
      </c>
      <c r="I148" s="27">
        <v>0</v>
      </c>
      <c r="J148" s="27">
        <v>0</v>
      </c>
      <c r="K148" s="30"/>
      <c r="L148" s="35" t="str">
        <f t="shared" si="0"/>
        <v/>
      </c>
      <c r="M148" s="36"/>
      <c r="N148" s="20" t="s">
        <v>48</v>
      </c>
      <c r="O148" s="20" t="s">
        <v>48</v>
      </c>
    </row>
    <row r="149" spans="1:15" ht="21.75" customHeight="1">
      <c r="A149" s="16">
        <v>140</v>
      </c>
      <c r="B149" s="39">
        <v>2428</v>
      </c>
      <c r="C149" s="40" t="s">
        <v>471</v>
      </c>
      <c r="D149" s="41" t="s">
        <v>476</v>
      </c>
      <c r="E149" s="16" t="s">
        <v>307</v>
      </c>
      <c r="F149" s="42" t="s">
        <v>34</v>
      </c>
      <c r="G149" s="43">
        <v>0</v>
      </c>
      <c r="H149" s="44">
        <v>0</v>
      </c>
      <c r="I149" s="44">
        <v>0</v>
      </c>
      <c r="J149" s="44">
        <v>0</v>
      </c>
      <c r="K149" s="30"/>
      <c r="L149" s="35" t="str">
        <f t="shared" si="0"/>
        <v/>
      </c>
      <c r="M149" s="36"/>
      <c r="N149" s="20" t="s">
        <v>48</v>
      </c>
      <c r="O149" s="20" t="s">
        <v>48</v>
      </c>
    </row>
    <row r="150" spans="1:15" ht="21.75" customHeight="1">
      <c r="A150" s="11">
        <v>141</v>
      </c>
      <c r="B150" s="12">
        <v>2434</v>
      </c>
      <c r="C150" s="14" t="s">
        <v>477</v>
      </c>
      <c r="D150" s="18" t="s">
        <v>478</v>
      </c>
      <c r="E150" s="11" t="s">
        <v>44</v>
      </c>
      <c r="F150" s="20" t="s">
        <v>34</v>
      </c>
      <c r="G150" s="23">
        <v>0</v>
      </c>
      <c r="H150" s="27">
        <v>0</v>
      </c>
      <c r="I150" s="27">
        <v>0</v>
      </c>
      <c r="J150" s="27">
        <v>0</v>
      </c>
      <c r="K150" s="30"/>
      <c r="L150" s="35" t="str">
        <f t="shared" si="0"/>
        <v/>
      </c>
      <c r="M150" s="36"/>
      <c r="N150" s="20" t="s">
        <v>48</v>
      </c>
      <c r="O150" s="20" t="s">
        <v>48</v>
      </c>
    </row>
    <row r="151" spans="1:15" ht="21.75" customHeight="1">
      <c r="A151" s="16">
        <v>142</v>
      </c>
      <c r="B151" s="39">
        <v>2433</v>
      </c>
      <c r="C151" s="40" t="s">
        <v>479</v>
      </c>
      <c r="D151" s="41" t="s">
        <v>480</v>
      </c>
      <c r="E151" s="16" t="s">
        <v>37</v>
      </c>
      <c r="F151" s="42" t="s">
        <v>34</v>
      </c>
      <c r="G151" s="43">
        <v>0</v>
      </c>
      <c r="H151" s="44">
        <v>0</v>
      </c>
      <c r="I151" s="44">
        <v>0</v>
      </c>
      <c r="J151" s="44">
        <v>0</v>
      </c>
      <c r="K151" s="30"/>
      <c r="L151" s="35" t="str">
        <f t="shared" si="0"/>
        <v/>
      </c>
      <c r="M151" s="36"/>
      <c r="N151" s="20" t="s">
        <v>48</v>
      </c>
      <c r="O151" s="20" t="s">
        <v>48</v>
      </c>
    </row>
    <row r="152" spans="1:15" ht="21.75" customHeight="1">
      <c r="A152" s="11">
        <v>143</v>
      </c>
      <c r="B152" s="12">
        <v>2401</v>
      </c>
      <c r="C152" s="14" t="s">
        <v>481</v>
      </c>
      <c r="D152" s="18" t="s">
        <v>482</v>
      </c>
      <c r="E152" s="11" t="s">
        <v>37</v>
      </c>
      <c r="F152" s="20" t="s">
        <v>34</v>
      </c>
      <c r="G152" s="23">
        <v>0</v>
      </c>
      <c r="H152" s="27">
        <v>0</v>
      </c>
      <c r="I152" s="27">
        <v>0</v>
      </c>
      <c r="J152" s="27">
        <v>0</v>
      </c>
      <c r="K152" s="30"/>
      <c r="L152" s="35" t="str">
        <f t="shared" si="0"/>
        <v/>
      </c>
      <c r="M152" s="36"/>
      <c r="N152" s="20" t="s">
        <v>48</v>
      </c>
      <c r="O152" s="20" t="s">
        <v>48</v>
      </c>
    </row>
    <row r="153" spans="1:15" ht="21.75" customHeight="1">
      <c r="A153" s="16">
        <v>144</v>
      </c>
      <c r="B153" s="39">
        <v>2440</v>
      </c>
      <c r="C153" s="40" t="s">
        <v>481</v>
      </c>
      <c r="D153" s="41" t="s">
        <v>483</v>
      </c>
      <c r="E153" s="16" t="s">
        <v>37</v>
      </c>
      <c r="F153" s="42" t="s">
        <v>34</v>
      </c>
      <c r="G153" s="43">
        <v>0</v>
      </c>
      <c r="H153" s="44">
        <v>0</v>
      </c>
      <c r="I153" s="44">
        <v>0</v>
      </c>
      <c r="J153" s="44">
        <v>0</v>
      </c>
      <c r="K153" s="30"/>
      <c r="L153" s="35" t="str">
        <f t="shared" si="0"/>
        <v/>
      </c>
      <c r="M153" s="36"/>
      <c r="N153" s="20" t="s">
        <v>48</v>
      </c>
      <c r="O153" s="20" t="s">
        <v>48</v>
      </c>
    </row>
    <row r="154" spans="1:15" ht="21.75" customHeight="1">
      <c r="A154" s="11">
        <v>145</v>
      </c>
      <c r="B154" s="12">
        <v>2427</v>
      </c>
      <c r="C154" s="14" t="s">
        <v>481</v>
      </c>
      <c r="D154" s="18" t="s">
        <v>484</v>
      </c>
      <c r="E154" s="11" t="s">
        <v>37</v>
      </c>
      <c r="F154" s="20" t="s">
        <v>34</v>
      </c>
      <c r="G154" s="23">
        <v>0</v>
      </c>
      <c r="H154" s="27">
        <v>0</v>
      </c>
      <c r="I154" s="27">
        <v>0</v>
      </c>
      <c r="J154" s="27">
        <v>0</v>
      </c>
      <c r="K154" s="30"/>
      <c r="L154" s="35" t="str">
        <f t="shared" si="0"/>
        <v/>
      </c>
      <c r="M154" s="36"/>
      <c r="N154" s="20" t="s">
        <v>48</v>
      </c>
      <c r="O154" s="20" t="s">
        <v>48</v>
      </c>
    </row>
    <row r="155" spans="1:15" ht="21.75" customHeight="1">
      <c r="A155" s="16">
        <v>146</v>
      </c>
      <c r="B155" s="39">
        <v>1862</v>
      </c>
      <c r="C155" s="40" t="s">
        <v>485</v>
      </c>
      <c r="D155" s="41" t="s">
        <v>486</v>
      </c>
      <c r="E155" s="16" t="s">
        <v>37</v>
      </c>
      <c r="F155" s="42" t="s">
        <v>34</v>
      </c>
      <c r="G155" s="43">
        <v>0</v>
      </c>
      <c r="H155" s="44">
        <v>0</v>
      </c>
      <c r="I155" s="44">
        <v>0</v>
      </c>
      <c r="J155" s="44">
        <v>0</v>
      </c>
      <c r="K155" s="30"/>
      <c r="L155" s="35" t="str">
        <f t="shared" si="0"/>
        <v/>
      </c>
      <c r="M155" s="36"/>
      <c r="N155" s="20" t="s">
        <v>48</v>
      </c>
      <c r="O155" s="20" t="s">
        <v>48</v>
      </c>
    </row>
    <row r="156" spans="1:15" ht="21.75" customHeight="1">
      <c r="A156" s="11">
        <v>147</v>
      </c>
      <c r="B156" s="12">
        <v>1863</v>
      </c>
      <c r="C156" s="14" t="s">
        <v>487</v>
      </c>
      <c r="D156" s="18" t="s">
        <v>488</v>
      </c>
      <c r="E156" s="11" t="s">
        <v>489</v>
      </c>
      <c r="F156" s="20" t="s">
        <v>34</v>
      </c>
      <c r="G156" s="23">
        <v>0</v>
      </c>
      <c r="H156" s="27">
        <v>0</v>
      </c>
      <c r="I156" s="27">
        <v>0</v>
      </c>
      <c r="J156" s="27">
        <v>0</v>
      </c>
      <c r="K156" s="30"/>
      <c r="L156" s="35" t="str">
        <f t="shared" si="0"/>
        <v/>
      </c>
      <c r="M156" s="36"/>
      <c r="N156" s="20" t="s">
        <v>48</v>
      </c>
      <c r="O156" s="20" t="s">
        <v>48</v>
      </c>
    </row>
    <row r="157" spans="1:15" ht="21.75" customHeight="1">
      <c r="A157" s="16">
        <v>148</v>
      </c>
      <c r="B157" s="39">
        <v>1864</v>
      </c>
      <c r="C157" s="40" t="s">
        <v>490</v>
      </c>
      <c r="D157" s="41" t="s">
        <v>491</v>
      </c>
      <c r="E157" s="16" t="s">
        <v>489</v>
      </c>
      <c r="F157" s="42" t="s">
        <v>34</v>
      </c>
      <c r="G157" s="43">
        <v>0</v>
      </c>
      <c r="H157" s="44">
        <v>0</v>
      </c>
      <c r="I157" s="44">
        <v>0</v>
      </c>
      <c r="J157" s="44">
        <v>0</v>
      </c>
      <c r="K157" s="30"/>
      <c r="L157" s="35" t="str">
        <f t="shared" si="0"/>
        <v/>
      </c>
      <c r="M157" s="36"/>
      <c r="N157" s="20" t="s">
        <v>48</v>
      </c>
      <c r="O157" s="20" t="s">
        <v>48</v>
      </c>
    </row>
    <row r="158" spans="1:15" ht="21.75" customHeight="1">
      <c r="A158" s="11">
        <v>149</v>
      </c>
      <c r="B158" s="39">
        <v>2399</v>
      </c>
      <c r="C158" s="40" t="s">
        <v>492</v>
      </c>
      <c r="D158" s="41" t="s">
        <v>493</v>
      </c>
      <c r="E158" s="16" t="s">
        <v>37</v>
      </c>
      <c r="F158" s="42" t="s">
        <v>34</v>
      </c>
      <c r="G158" s="43">
        <v>0</v>
      </c>
      <c r="H158" s="44">
        <v>0</v>
      </c>
      <c r="I158" s="44">
        <v>0</v>
      </c>
      <c r="J158" s="44">
        <v>0</v>
      </c>
      <c r="K158" s="30"/>
      <c r="L158" s="35" t="str">
        <f t="shared" si="0"/>
        <v/>
      </c>
      <c r="M158" s="36"/>
      <c r="N158" s="20" t="s">
        <v>48</v>
      </c>
      <c r="O158" s="20" t="s">
        <v>48</v>
      </c>
    </row>
    <row r="159" spans="1:15" ht="21.75" customHeight="1">
      <c r="A159" s="16">
        <v>150</v>
      </c>
      <c r="B159" s="12">
        <v>2416</v>
      </c>
      <c r="C159" s="14" t="s">
        <v>492</v>
      </c>
      <c r="D159" s="18" t="s">
        <v>494</v>
      </c>
      <c r="E159" s="11" t="s">
        <v>37</v>
      </c>
      <c r="F159" s="20" t="s">
        <v>34</v>
      </c>
      <c r="G159" s="23">
        <v>0</v>
      </c>
      <c r="H159" s="27">
        <v>0</v>
      </c>
      <c r="I159" s="27">
        <v>0</v>
      </c>
      <c r="J159" s="27">
        <v>0</v>
      </c>
      <c r="K159" s="30"/>
      <c r="L159" s="35" t="str">
        <f t="shared" si="0"/>
        <v/>
      </c>
      <c r="M159" s="36"/>
      <c r="N159" s="20" t="s">
        <v>48</v>
      </c>
      <c r="O159" s="20" t="s">
        <v>48</v>
      </c>
    </row>
    <row r="160" spans="1:15" ht="21.75" customHeight="1">
      <c r="A160" s="11">
        <v>151</v>
      </c>
      <c r="B160" s="39">
        <v>2415</v>
      </c>
      <c r="C160" s="40" t="s">
        <v>492</v>
      </c>
      <c r="D160" s="41" t="s">
        <v>495</v>
      </c>
      <c r="E160" s="16" t="s">
        <v>37</v>
      </c>
      <c r="F160" s="42" t="s">
        <v>34</v>
      </c>
      <c r="G160" s="43">
        <v>0</v>
      </c>
      <c r="H160" s="44">
        <v>0</v>
      </c>
      <c r="I160" s="44">
        <v>0</v>
      </c>
      <c r="J160" s="44">
        <v>0</v>
      </c>
      <c r="K160" s="30"/>
      <c r="L160" s="35" t="str">
        <f t="shared" si="0"/>
        <v/>
      </c>
      <c r="M160" s="36"/>
      <c r="N160" s="20" t="s">
        <v>48</v>
      </c>
      <c r="O160" s="20" t="s">
        <v>48</v>
      </c>
    </row>
    <row r="161" spans="1:15" ht="21.75" customHeight="1">
      <c r="A161" s="16">
        <v>152</v>
      </c>
      <c r="B161" s="12">
        <v>2391</v>
      </c>
      <c r="C161" s="14" t="s">
        <v>492</v>
      </c>
      <c r="D161" s="18" t="s">
        <v>496</v>
      </c>
      <c r="E161" s="11" t="s">
        <v>37</v>
      </c>
      <c r="F161" s="20" t="s">
        <v>34</v>
      </c>
      <c r="G161" s="23">
        <v>0</v>
      </c>
      <c r="H161" s="27">
        <v>0</v>
      </c>
      <c r="I161" s="27">
        <v>0</v>
      </c>
      <c r="J161" s="27">
        <v>0</v>
      </c>
      <c r="K161" s="30"/>
      <c r="L161" s="35" t="str">
        <f t="shared" si="0"/>
        <v/>
      </c>
      <c r="M161" s="36"/>
      <c r="N161" s="20" t="s">
        <v>48</v>
      </c>
      <c r="O161" s="20" t="s">
        <v>48</v>
      </c>
    </row>
    <row r="162" spans="1:15" ht="21.75" customHeight="1">
      <c r="A162" s="11">
        <v>153</v>
      </c>
      <c r="B162" s="39">
        <v>2419</v>
      </c>
      <c r="C162" s="40" t="s">
        <v>497</v>
      </c>
      <c r="D162" s="41" t="s">
        <v>498</v>
      </c>
      <c r="E162" s="16" t="s">
        <v>31</v>
      </c>
      <c r="F162" s="42" t="s">
        <v>34</v>
      </c>
      <c r="G162" s="43">
        <v>0</v>
      </c>
      <c r="H162" s="44">
        <v>0</v>
      </c>
      <c r="I162" s="44">
        <v>0</v>
      </c>
      <c r="J162" s="44">
        <v>0</v>
      </c>
      <c r="K162" s="30"/>
      <c r="L162" s="35" t="str">
        <f t="shared" si="0"/>
        <v/>
      </c>
      <c r="M162" s="36"/>
      <c r="N162" s="20" t="s">
        <v>48</v>
      </c>
      <c r="O162" s="20" t="s">
        <v>48</v>
      </c>
    </row>
    <row r="163" spans="1:15" ht="21.75" customHeight="1">
      <c r="A163" s="16">
        <v>154</v>
      </c>
      <c r="B163" s="12">
        <v>2389</v>
      </c>
      <c r="C163" s="14" t="s">
        <v>497</v>
      </c>
      <c r="D163" s="18" t="s">
        <v>499</v>
      </c>
      <c r="E163" s="11" t="s">
        <v>31</v>
      </c>
      <c r="F163" s="20" t="s">
        <v>34</v>
      </c>
      <c r="G163" s="23">
        <v>0</v>
      </c>
      <c r="H163" s="27">
        <v>0</v>
      </c>
      <c r="I163" s="27">
        <v>0</v>
      </c>
      <c r="J163" s="27">
        <v>0</v>
      </c>
      <c r="K163" s="30"/>
      <c r="L163" s="35" t="str">
        <f t="shared" si="0"/>
        <v/>
      </c>
      <c r="M163" s="36"/>
      <c r="N163" s="20" t="s">
        <v>48</v>
      </c>
      <c r="O163" s="20" t="s">
        <v>48</v>
      </c>
    </row>
    <row r="164" spans="1:15" ht="21.75" customHeight="1">
      <c r="A164" s="11">
        <v>155</v>
      </c>
      <c r="B164" s="39">
        <v>2387</v>
      </c>
      <c r="C164" s="40" t="s">
        <v>500</v>
      </c>
      <c r="D164" s="41" t="s">
        <v>501</v>
      </c>
      <c r="E164" s="16" t="s">
        <v>38</v>
      </c>
      <c r="F164" s="42" t="s">
        <v>34</v>
      </c>
      <c r="G164" s="43">
        <v>0</v>
      </c>
      <c r="H164" s="44">
        <v>10</v>
      </c>
      <c r="I164" s="44">
        <v>0</v>
      </c>
      <c r="J164" s="44">
        <v>0</v>
      </c>
      <c r="K164" s="30"/>
      <c r="L164" s="35" t="str">
        <f t="shared" si="0"/>
        <v/>
      </c>
      <c r="M164" s="36"/>
      <c r="N164" s="20" t="s">
        <v>48</v>
      </c>
      <c r="O164" s="20" t="s">
        <v>48</v>
      </c>
    </row>
    <row r="165" spans="1:15" ht="21.75" customHeight="1">
      <c r="A165" s="16">
        <v>156</v>
      </c>
      <c r="B165" s="12">
        <v>1957</v>
      </c>
      <c r="C165" s="14" t="s">
        <v>502</v>
      </c>
      <c r="D165" s="18" t="s">
        <v>503</v>
      </c>
      <c r="E165" s="11" t="s">
        <v>37</v>
      </c>
      <c r="F165" s="20" t="s">
        <v>34</v>
      </c>
      <c r="G165" s="23">
        <v>0</v>
      </c>
      <c r="H165" s="27">
        <v>0</v>
      </c>
      <c r="I165" s="27">
        <v>0</v>
      </c>
      <c r="J165" s="27">
        <v>0</v>
      </c>
      <c r="K165" s="30"/>
      <c r="L165" s="35" t="str">
        <f t="shared" si="0"/>
        <v/>
      </c>
      <c r="M165" s="36"/>
      <c r="N165" s="20" t="s">
        <v>48</v>
      </c>
      <c r="O165" s="20" t="s">
        <v>48</v>
      </c>
    </row>
    <row r="166" spans="1:15" ht="21.75" customHeight="1">
      <c r="A166" s="11">
        <v>157</v>
      </c>
      <c r="B166" s="39">
        <v>2378</v>
      </c>
      <c r="C166" s="40" t="s">
        <v>504</v>
      </c>
      <c r="D166" s="41" t="s">
        <v>505</v>
      </c>
      <c r="E166" s="16" t="s">
        <v>37</v>
      </c>
      <c r="F166" s="42" t="s">
        <v>34</v>
      </c>
      <c r="G166" s="43">
        <v>0</v>
      </c>
      <c r="H166" s="44">
        <v>0</v>
      </c>
      <c r="I166" s="44">
        <v>0</v>
      </c>
      <c r="J166" s="44">
        <v>0</v>
      </c>
      <c r="K166" s="30"/>
      <c r="L166" s="35" t="str">
        <f t="shared" si="0"/>
        <v/>
      </c>
      <c r="M166" s="36"/>
      <c r="N166" s="20" t="s">
        <v>48</v>
      </c>
      <c r="O166" s="20" t="s">
        <v>48</v>
      </c>
    </row>
    <row r="167" spans="1:15" ht="21.75" customHeight="1">
      <c r="A167" s="16">
        <v>158</v>
      </c>
      <c r="B167" s="12">
        <v>1953</v>
      </c>
      <c r="C167" s="14" t="s">
        <v>504</v>
      </c>
      <c r="D167" s="18" t="s">
        <v>506</v>
      </c>
      <c r="E167" s="11" t="s">
        <v>37</v>
      </c>
      <c r="F167" s="20" t="s">
        <v>34</v>
      </c>
      <c r="G167" s="23">
        <v>0</v>
      </c>
      <c r="H167" s="27">
        <v>0</v>
      </c>
      <c r="I167" s="27">
        <v>0</v>
      </c>
      <c r="J167" s="27">
        <v>0</v>
      </c>
      <c r="K167" s="30"/>
      <c r="L167" s="35" t="str">
        <f t="shared" si="0"/>
        <v/>
      </c>
      <c r="M167" s="36"/>
      <c r="N167" s="20" t="s">
        <v>48</v>
      </c>
      <c r="O167" s="20" t="s">
        <v>48</v>
      </c>
    </row>
    <row r="168" spans="1:15" ht="21.75" customHeight="1">
      <c r="A168" s="11">
        <v>159</v>
      </c>
      <c r="B168" s="39">
        <v>2425</v>
      </c>
      <c r="C168" s="40" t="s">
        <v>507</v>
      </c>
      <c r="D168" s="41" t="s">
        <v>508</v>
      </c>
      <c r="E168" s="16" t="s">
        <v>37</v>
      </c>
      <c r="F168" s="42" t="s">
        <v>34</v>
      </c>
      <c r="G168" s="43">
        <v>0</v>
      </c>
      <c r="H168" s="44">
        <v>0</v>
      </c>
      <c r="I168" s="44">
        <v>0</v>
      </c>
      <c r="J168" s="44">
        <v>0</v>
      </c>
      <c r="K168" s="30"/>
      <c r="L168" s="35" t="str">
        <f t="shared" si="0"/>
        <v/>
      </c>
      <c r="M168" s="36"/>
      <c r="N168" s="20" t="s">
        <v>48</v>
      </c>
      <c r="O168" s="20" t="s">
        <v>48</v>
      </c>
    </row>
    <row r="169" spans="1:15" ht="21.75" customHeight="1">
      <c r="A169" s="16">
        <v>160</v>
      </c>
      <c r="B169" s="12">
        <v>2426</v>
      </c>
      <c r="C169" s="14" t="s">
        <v>509</v>
      </c>
      <c r="D169" s="18" t="s">
        <v>510</v>
      </c>
      <c r="E169" s="11" t="s">
        <v>37</v>
      </c>
      <c r="F169" s="20" t="s">
        <v>34</v>
      </c>
      <c r="G169" s="23">
        <v>0</v>
      </c>
      <c r="H169" s="27">
        <v>0</v>
      </c>
      <c r="I169" s="27">
        <v>0</v>
      </c>
      <c r="J169" s="27">
        <v>0</v>
      </c>
      <c r="K169" s="30"/>
      <c r="L169" s="35" t="str">
        <f t="shared" si="0"/>
        <v/>
      </c>
      <c r="M169" s="36"/>
      <c r="N169" s="20" t="s">
        <v>48</v>
      </c>
      <c r="O169" s="20" t="s">
        <v>48</v>
      </c>
    </row>
    <row r="170" spans="1:15" ht="21.75" customHeight="1">
      <c r="A170" s="11">
        <v>161</v>
      </c>
      <c r="B170" s="39">
        <v>2424</v>
      </c>
      <c r="C170" s="40" t="s">
        <v>511</v>
      </c>
      <c r="D170" s="41" t="s">
        <v>512</v>
      </c>
      <c r="E170" s="16" t="s">
        <v>513</v>
      </c>
      <c r="F170" s="42" t="s">
        <v>34</v>
      </c>
      <c r="G170" s="43">
        <v>0</v>
      </c>
      <c r="H170" s="44">
        <v>0</v>
      </c>
      <c r="I170" s="44">
        <v>0</v>
      </c>
      <c r="J170" s="44">
        <v>0</v>
      </c>
      <c r="K170" s="30"/>
      <c r="L170" s="35" t="str">
        <f t="shared" si="0"/>
        <v/>
      </c>
      <c r="M170" s="36"/>
      <c r="N170" s="20" t="s">
        <v>48</v>
      </c>
      <c r="O170" s="20" t="s">
        <v>48</v>
      </c>
    </row>
    <row r="171" spans="1:15" ht="21.75" customHeight="1">
      <c r="A171" s="16">
        <v>162</v>
      </c>
      <c r="B171" s="12">
        <v>1959</v>
      </c>
      <c r="C171" s="14" t="s">
        <v>514</v>
      </c>
      <c r="D171" s="18" t="s">
        <v>515</v>
      </c>
      <c r="E171" s="11" t="s">
        <v>37</v>
      </c>
      <c r="F171" s="20" t="s">
        <v>34</v>
      </c>
      <c r="G171" s="23">
        <v>0</v>
      </c>
      <c r="H171" s="27">
        <v>0</v>
      </c>
      <c r="I171" s="27">
        <v>0</v>
      </c>
      <c r="J171" s="27">
        <v>0</v>
      </c>
      <c r="K171" s="30"/>
      <c r="L171" s="35" t="str">
        <f t="shared" si="0"/>
        <v/>
      </c>
      <c r="M171" s="36"/>
      <c r="N171" s="20" t="s">
        <v>48</v>
      </c>
      <c r="O171" s="20" t="s">
        <v>48</v>
      </c>
    </row>
    <row r="172" spans="1:15" ht="21.75" customHeight="1">
      <c r="A172" s="11">
        <v>163</v>
      </c>
      <c r="B172" s="12"/>
      <c r="C172" s="14" t="s">
        <v>516</v>
      </c>
      <c r="D172" s="18" t="s">
        <v>517</v>
      </c>
      <c r="E172" s="11" t="s">
        <v>37</v>
      </c>
      <c r="F172" s="20" t="s">
        <v>34</v>
      </c>
      <c r="G172" s="23"/>
      <c r="H172" s="27"/>
      <c r="I172" s="27"/>
      <c r="J172" s="27"/>
      <c r="K172" s="30"/>
      <c r="L172" s="35"/>
      <c r="M172" s="36"/>
      <c r="N172" s="20"/>
      <c r="O172" s="20"/>
    </row>
    <row r="173" spans="1:15" ht="21.75" customHeight="1">
      <c r="A173" s="16">
        <v>164</v>
      </c>
      <c r="B173" s="12"/>
      <c r="C173" s="14" t="s">
        <v>518</v>
      </c>
      <c r="D173" s="18" t="s">
        <v>519</v>
      </c>
      <c r="E173" s="11" t="s">
        <v>37</v>
      </c>
      <c r="F173" s="20" t="s">
        <v>34</v>
      </c>
      <c r="G173" s="23"/>
      <c r="H173" s="27"/>
      <c r="I173" s="27"/>
      <c r="J173" s="27"/>
      <c r="K173" s="30"/>
      <c r="L173" s="35"/>
      <c r="M173" s="36"/>
      <c r="N173" s="20"/>
      <c r="O173" s="20"/>
    </row>
    <row r="174" spans="1:15" ht="21.75" customHeight="1">
      <c r="A174" s="11">
        <v>165</v>
      </c>
      <c r="B174" s="12"/>
      <c r="C174" s="14" t="s">
        <v>520</v>
      </c>
      <c r="D174" s="18" t="s">
        <v>521</v>
      </c>
      <c r="E174" s="11" t="s">
        <v>31</v>
      </c>
      <c r="F174" s="20" t="s">
        <v>34</v>
      </c>
      <c r="G174" s="23"/>
      <c r="H174" s="27"/>
      <c r="I174" s="27"/>
      <c r="J174" s="27"/>
      <c r="K174" s="30"/>
      <c r="L174" s="35"/>
      <c r="M174" s="36"/>
      <c r="N174" s="20"/>
      <c r="O174" s="20"/>
    </row>
    <row r="175" spans="1:15" ht="21.75" customHeight="1">
      <c r="A175" s="16">
        <v>166</v>
      </c>
      <c r="B175" s="12"/>
      <c r="C175" s="14" t="s">
        <v>520</v>
      </c>
      <c r="D175" s="18" t="s">
        <v>522</v>
      </c>
      <c r="E175" s="11" t="s">
        <v>31</v>
      </c>
      <c r="F175" s="20" t="s">
        <v>34</v>
      </c>
      <c r="G175" s="23"/>
      <c r="H175" s="27"/>
      <c r="I175" s="27"/>
      <c r="J175" s="27"/>
      <c r="K175" s="30"/>
      <c r="L175" s="35"/>
      <c r="M175" s="36"/>
      <c r="N175" s="20"/>
      <c r="O175" s="20"/>
    </row>
    <row r="176" spans="1:15" ht="21.75" customHeight="1">
      <c r="A176" s="11">
        <v>167</v>
      </c>
      <c r="B176" s="12"/>
      <c r="C176" s="14" t="s">
        <v>92</v>
      </c>
      <c r="D176" s="18" t="s">
        <v>523</v>
      </c>
      <c r="E176" s="11" t="s">
        <v>38</v>
      </c>
      <c r="F176" s="20" t="s">
        <v>34</v>
      </c>
      <c r="G176" s="23"/>
      <c r="H176" s="27"/>
      <c r="I176" s="27"/>
      <c r="J176" s="27"/>
      <c r="K176" s="30"/>
      <c r="L176" s="35"/>
      <c r="M176" s="36"/>
      <c r="N176" s="20"/>
      <c r="O176" s="20"/>
    </row>
    <row r="177" spans="1:15" ht="21.75" customHeight="1">
      <c r="A177" s="16">
        <v>168</v>
      </c>
      <c r="B177" s="12"/>
      <c r="C177" s="14" t="s">
        <v>296</v>
      </c>
      <c r="D177" s="18" t="s">
        <v>524</v>
      </c>
      <c r="E177" s="11" t="s">
        <v>525</v>
      </c>
      <c r="F177" s="20" t="s">
        <v>34</v>
      </c>
      <c r="G177" s="23"/>
      <c r="H177" s="27"/>
      <c r="I177" s="27"/>
      <c r="J177" s="27"/>
      <c r="K177" s="30"/>
      <c r="L177" s="35"/>
      <c r="M177" s="36"/>
      <c r="N177" s="20"/>
      <c r="O177" s="20"/>
    </row>
    <row r="178" spans="1:15" ht="21.75" customHeight="1">
      <c r="A178" s="11">
        <v>169</v>
      </c>
      <c r="B178" s="12"/>
      <c r="C178" s="14" t="s">
        <v>526</v>
      </c>
      <c r="D178" s="18" t="s">
        <v>527</v>
      </c>
      <c r="E178" s="11" t="s">
        <v>473</v>
      </c>
      <c r="F178" s="20" t="s">
        <v>34</v>
      </c>
      <c r="G178" s="23"/>
      <c r="H178" s="27"/>
      <c r="I178" s="27"/>
      <c r="J178" s="27"/>
      <c r="K178" s="30"/>
      <c r="L178" s="35"/>
      <c r="M178" s="36"/>
      <c r="N178" s="20"/>
      <c r="O178" s="20"/>
    </row>
    <row r="179" spans="1:15" ht="21.75" customHeight="1">
      <c r="A179" s="16">
        <v>170</v>
      </c>
      <c r="B179" s="12"/>
      <c r="C179" s="14" t="s">
        <v>528</v>
      </c>
      <c r="D179" s="18" t="s">
        <v>529</v>
      </c>
      <c r="E179" s="11" t="s">
        <v>37</v>
      </c>
      <c r="F179" s="20" t="s">
        <v>34</v>
      </c>
      <c r="G179" s="23"/>
      <c r="H179" s="27"/>
      <c r="I179" s="27"/>
      <c r="J179" s="27"/>
      <c r="K179" s="30"/>
      <c r="L179" s="35"/>
      <c r="M179" s="36"/>
      <c r="N179" s="20"/>
      <c r="O179" s="20"/>
    </row>
    <row r="180" spans="1:15" ht="21.75" customHeight="1">
      <c r="A180" s="11">
        <v>171</v>
      </c>
      <c r="B180" s="12"/>
      <c r="C180" s="14" t="s">
        <v>530</v>
      </c>
      <c r="D180" s="18" t="s">
        <v>531</v>
      </c>
      <c r="E180" s="11" t="s">
        <v>37</v>
      </c>
      <c r="F180" s="20" t="s">
        <v>34</v>
      </c>
      <c r="G180" s="23"/>
      <c r="H180" s="27"/>
      <c r="I180" s="27"/>
      <c r="J180" s="27"/>
      <c r="K180" s="30"/>
      <c r="L180" s="35"/>
      <c r="M180" s="36"/>
      <c r="N180" s="20"/>
      <c r="O180" s="20"/>
    </row>
    <row r="181" spans="1:15" ht="21.75" customHeight="1">
      <c r="A181" s="16">
        <v>172</v>
      </c>
      <c r="B181" s="12"/>
      <c r="C181" s="14" t="s">
        <v>530</v>
      </c>
      <c r="D181" s="18" t="s">
        <v>532</v>
      </c>
      <c r="E181" s="11" t="s">
        <v>37</v>
      </c>
      <c r="F181" s="20" t="s">
        <v>34</v>
      </c>
      <c r="G181" s="23"/>
      <c r="H181" s="27"/>
      <c r="I181" s="27"/>
      <c r="J181" s="27"/>
      <c r="K181" s="30"/>
      <c r="L181" s="35"/>
      <c r="M181" s="36"/>
      <c r="N181" s="20"/>
      <c r="O181" s="20"/>
    </row>
    <row r="182" spans="1:15" ht="21.75" customHeight="1">
      <c r="A182" s="11">
        <v>173</v>
      </c>
      <c r="B182" s="12"/>
      <c r="C182" s="14" t="s">
        <v>530</v>
      </c>
      <c r="D182" s="18" t="s">
        <v>533</v>
      </c>
      <c r="E182" s="11" t="s">
        <v>37</v>
      </c>
      <c r="F182" s="20" t="s">
        <v>34</v>
      </c>
      <c r="G182" s="23"/>
      <c r="H182" s="27"/>
      <c r="I182" s="27"/>
      <c r="J182" s="27"/>
      <c r="K182" s="30"/>
      <c r="L182" s="35"/>
      <c r="M182" s="36"/>
      <c r="N182" s="20"/>
      <c r="O182" s="20"/>
    </row>
    <row r="183" spans="1:15" ht="21.75" customHeight="1">
      <c r="A183" s="16">
        <v>174</v>
      </c>
      <c r="B183" s="12"/>
      <c r="C183" s="14" t="s">
        <v>109</v>
      </c>
      <c r="D183" s="18" t="s">
        <v>110</v>
      </c>
      <c r="E183" s="11" t="s">
        <v>111</v>
      </c>
      <c r="F183" s="20"/>
      <c r="G183" s="23"/>
      <c r="H183" s="27"/>
      <c r="I183" s="27"/>
      <c r="J183" s="27"/>
      <c r="K183" s="30"/>
      <c r="L183" s="35"/>
      <c r="M183" s="36"/>
      <c r="N183" s="20"/>
      <c r="O183" s="20"/>
    </row>
    <row r="184" spans="1:15" ht="21.75" customHeight="1">
      <c r="A184" s="11">
        <v>175</v>
      </c>
      <c r="B184" s="12"/>
      <c r="C184" s="14" t="s">
        <v>109</v>
      </c>
      <c r="D184" s="18" t="s">
        <v>114</v>
      </c>
      <c r="E184" s="11" t="s">
        <v>111</v>
      </c>
      <c r="F184" s="20"/>
      <c r="G184" s="23"/>
      <c r="H184" s="27"/>
      <c r="I184" s="27"/>
      <c r="J184" s="27"/>
      <c r="K184" s="30"/>
      <c r="L184" s="35"/>
      <c r="M184" s="36"/>
      <c r="N184" s="20"/>
      <c r="O184" s="20"/>
    </row>
    <row r="185" spans="1:15" ht="21.75" customHeight="1">
      <c r="A185" s="16">
        <v>176</v>
      </c>
      <c r="B185" s="12"/>
      <c r="C185" s="14" t="s">
        <v>119</v>
      </c>
      <c r="D185" s="18" t="s">
        <v>120</v>
      </c>
      <c r="E185" s="11" t="s">
        <v>37</v>
      </c>
      <c r="F185" s="20"/>
      <c r="G185" s="23"/>
      <c r="H185" s="27"/>
      <c r="I185" s="27"/>
      <c r="J185" s="27"/>
      <c r="K185" s="30"/>
      <c r="L185" s="35"/>
      <c r="M185" s="36"/>
      <c r="N185" s="20"/>
      <c r="O185" s="20"/>
    </row>
    <row r="186" spans="1:15" ht="21.75" customHeight="1">
      <c r="A186" s="11">
        <v>177</v>
      </c>
      <c r="B186" s="12"/>
      <c r="C186" s="14" t="s">
        <v>119</v>
      </c>
      <c r="D186" s="18" t="s">
        <v>125</v>
      </c>
      <c r="E186" s="11" t="s">
        <v>37</v>
      </c>
      <c r="F186" s="20"/>
      <c r="G186" s="23"/>
      <c r="H186" s="27"/>
      <c r="I186" s="27"/>
      <c r="J186" s="27"/>
      <c r="K186" s="30"/>
      <c r="L186" s="35"/>
      <c r="M186" s="36"/>
      <c r="N186" s="20"/>
      <c r="O186" s="20"/>
    </row>
    <row r="187" spans="1:15" ht="21.75" customHeight="1">
      <c r="A187" s="16">
        <v>178</v>
      </c>
      <c r="B187" s="12"/>
      <c r="C187" s="14" t="s">
        <v>119</v>
      </c>
      <c r="D187" s="18" t="s">
        <v>127</v>
      </c>
      <c r="E187" s="11" t="s">
        <v>37</v>
      </c>
      <c r="F187" s="20"/>
      <c r="G187" s="23"/>
      <c r="H187" s="27"/>
      <c r="I187" s="27"/>
      <c r="J187" s="27"/>
      <c r="K187" s="30"/>
      <c r="L187" s="35"/>
      <c r="M187" s="36"/>
      <c r="N187" s="20"/>
      <c r="O187" s="20"/>
    </row>
    <row r="188" spans="1:15" ht="21.75" customHeight="1">
      <c r="A188" s="11">
        <v>179</v>
      </c>
      <c r="B188" s="12"/>
      <c r="C188" s="14" t="s">
        <v>119</v>
      </c>
      <c r="D188" s="18" t="s">
        <v>131</v>
      </c>
      <c r="E188" s="11" t="s">
        <v>37</v>
      </c>
      <c r="F188" s="20"/>
      <c r="G188" s="23"/>
      <c r="H188" s="27"/>
      <c r="I188" s="27"/>
      <c r="J188" s="27"/>
      <c r="K188" s="30"/>
      <c r="L188" s="35"/>
      <c r="M188" s="36"/>
      <c r="N188" s="20"/>
      <c r="O188" s="20"/>
    </row>
    <row r="189" spans="1:15" ht="28">
      <c r="A189" s="16">
        <v>180</v>
      </c>
      <c r="B189" s="12"/>
      <c r="C189" s="14" t="s">
        <v>134</v>
      </c>
      <c r="D189" s="18" t="s">
        <v>135</v>
      </c>
      <c r="E189" s="11" t="s">
        <v>37</v>
      </c>
      <c r="F189" s="20"/>
      <c r="G189" s="23"/>
      <c r="H189" s="27"/>
      <c r="I189" s="27"/>
      <c r="J189" s="27"/>
      <c r="K189" s="30"/>
      <c r="L189" s="35"/>
      <c r="M189" s="36"/>
      <c r="N189" s="20"/>
      <c r="O189" s="20"/>
    </row>
    <row r="190" spans="1:15" ht="21.75" customHeight="1">
      <c r="A190" s="11">
        <v>181</v>
      </c>
      <c r="B190" s="12"/>
      <c r="C190" s="14" t="s">
        <v>136</v>
      </c>
      <c r="D190" s="18" t="s">
        <v>110</v>
      </c>
      <c r="E190" s="11" t="s">
        <v>37</v>
      </c>
      <c r="F190" s="20"/>
      <c r="G190" s="23"/>
      <c r="H190" s="27"/>
      <c r="I190" s="27"/>
      <c r="J190" s="27"/>
      <c r="K190" s="30"/>
      <c r="L190" s="35"/>
      <c r="M190" s="36"/>
      <c r="N190" s="20"/>
      <c r="O190" s="20"/>
    </row>
    <row r="191" spans="1:15" ht="21.75" customHeight="1">
      <c r="A191" s="16">
        <v>182</v>
      </c>
      <c r="B191" s="12"/>
      <c r="C191" s="14" t="s">
        <v>136</v>
      </c>
      <c r="D191" s="18" t="s">
        <v>114</v>
      </c>
      <c r="E191" s="11" t="s">
        <v>37</v>
      </c>
      <c r="F191" s="20"/>
      <c r="G191" s="23"/>
      <c r="H191" s="27"/>
      <c r="I191" s="27"/>
      <c r="J191" s="27"/>
      <c r="K191" s="30"/>
      <c r="L191" s="35"/>
      <c r="M191" s="36"/>
      <c r="N191" s="20"/>
      <c r="O191" s="20"/>
    </row>
    <row r="192" spans="1:15" ht="21.75" customHeight="1">
      <c r="A192" s="11">
        <v>183</v>
      </c>
      <c r="B192" s="12"/>
      <c r="C192" s="14" t="s">
        <v>147</v>
      </c>
      <c r="D192" s="18" t="s">
        <v>110</v>
      </c>
      <c r="E192" s="11" t="s">
        <v>37</v>
      </c>
      <c r="F192" s="20"/>
      <c r="G192" s="23"/>
      <c r="H192" s="27"/>
      <c r="I192" s="27"/>
      <c r="J192" s="27"/>
      <c r="K192" s="30"/>
      <c r="L192" s="35"/>
      <c r="M192" s="36"/>
      <c r="N192" s="20"/>
      <c r="O192" s="20"/>
    </row>
    <row r="193" spans="1:21" ht="21.75" customHeight="1">
      <c r="A193" s="16">
        <v>184</v>
      </c>
      <c r="B193" s="12"/>
      <c r="C193" s="14" t="s">
        <v>147</v>
      </c>
      <c r="D193" s="18" t="s">
        <v>114</v>
      </c>
      <c r="E193" s="11" t="s">
        <v>37</v>
      </c>
      <c r="F193" s="20"/>
      <c r="G193" s="23"/>
      <c r="H193" s="27"/>
      <c r="I193" s="27"/>
      <c r="J193" s="27"/>
      <c r="K193" s="30"/>
      <c r="L193" s="35"/>
      <c r="M193" s="36"/>
      <c r="N193" s="20"/>
      <c r="O193" s="20"/>
    </row>
    <row r="194" spans="1:21" ht="26">
      <c r="A194" s="11">
        <v>185</v>
      </c>
      <c r="B194" s="12"/>
      <c r="C194" s="14" t="s">
        <v>152</v>
      </c>
      <c r="D194" s="18" t="s">
        <v>153</v>
      </c>
      <c r="E194" s="11" t="s">
        <v>37</v>
      </c>
      <c r="F194" s="20"/>
      <c r="G194" s="23"/>
      <c r="H194" s="27"/>
      <c r="I194" s="27"/>
      <c r="J194" s="27"/>
      <c r="K194" s="30"/>
      <c r="L194" s="35"/>
      <c r="M194" s="36"/>
      <c r="N194" s="20"/>
      <c r="O194" s="20"/>
    </row>
    <row r="195" spans="1:21" ht="26">
      <c r="A195" s="16">
        <v>186</v>
      </c>
      <c r="B195" s="12"/>
      <c r="C195" s="14" t="s">
        <v>152</v>
      </c>
      <c r="D195" s="18" t="s">
        <v>156</v>
      </c>
      <c r="E195" s="11" t="s">
        <v>37</v>
      </c>
      <c r="F195" s="20"/>
      <c r="G195" s="23"/>
      <c r="H195" s="27"/>
      <c r="I195" s="27"/>
      <c r="J195" s="27"/>
      <c r="K195" s="30"/>
      <c r="L195" s="35"/>
      <c r="M195" s="36"/>
      <c r="N195" s="20"/>
      <c r="O195" s="20"/>
    </row>
    <row r="196" spans="1:21" ht="21.75" customHeight="1">
      <c r="A196" s="11">
        <v>187</v>
      </c>
      <c r="B196" s="12"/>
      <c r="C196" s="14" t="s">
        <v>162</v>
      </c>
      <c r="D196" s="18" t="s">
        <v>535</v>
      </c>
      <c r="E196" s="11" t="s">
        <v>37</v>
      </c>
      <c r="F196" s="20"/>
      <c r="G196" s="23"/>
      <c r="H196" s="27"/>
      <c r="I196" s="27"/>
      <c r="J196" s="27"/>
      <c r="K196" s="30"/>
      <c r="L196" s="35"/>
      <c r="M196" s="36"/>
      <c r="N196" s="20"/>
      <c r="O196" s="20"/>
    </row>
    <row r="197" spans="1:21" ht="21.75" customHeight="1">
      <c r="A197" s="16">
        <v>188</v>
      </c>
      <c r="B197" s="12"/>
      <c r="C197" s="14" t="s">
        <v>162</v>
      </c>
      <c r="D197" s="18" t="s">
        <v>536</v>
      </c>
      <c r="E197" s="11" t="s">
        <v>37</v>
      </c>
      <c r="F197" s="20"/>
      <c r="G197" s="23"/>
      <c r="H197" s="27"/>
      <c r="I197" s="27"/>
      <c r="J197" s="27"/>
      <c r="K197" s="30"/>
      <c r="L197" s="35"/>
      <c r="M197" s="36"/>
      <c r="N197" s="20"/>
      <c r="O197" s="20"/>
      <c r="U197" s="52"/>
    </row>
    <row r="198" spans="1:21" ht="21.75" customHeight="1">
      <c r="A198" s="11">
        <v>189</v>
      </c>
      <c r="B198" s="12"/>
      <c r="C198" s="14" t="s">
        <v>162</v>
      </c>
      <c r="D198" s="18" t="s">
        <v>537</v>
      </c>
      <c r="E198" s="11" t="s">
        <v>37</v>
      </c>
      <c r="F198" s="20"/>
      <c r="G198" s="23"/>
      <c r="H198" s="27"/>
      <c r="I198" s="27"/>
      <c r="J198" s="27"/>
      <c r="K198" s="30"/>
      <c r="L198" s="35"/>
      <c r="M198" s="36"/>
      <c r="N198" s="20"/>
      <c r="O198" s="20"/>
    </row>
    <row r="199" spans="1:21" ht="21.75" customHeight="1">
      <c r="A199" s="16">
        <v>190</v>
      </c>
      <c r="B199" s="12"/>
      <c r="C199" s="14" t="s">
        <v>169</v>
      </c>
      <c r="D199" s="18" t="s">
        <v>110</v>
      </c>
      <c r="E199" s="11" t="s">
        <v>37</v>
      </c>
      <c r="F199" s="20"/>
      <c r="G199" s="23"/>
      <c r="H199" s="27"/>
      <c r="I199" s="27"/>
      <c r="J199" s="27"/>
      <c r="K199" s="30"/>
      <c r="L199" s="35"/>
      <c r="M199" s="36"/>
      <c r="N199" s="20"/>
      <c r="O199" s="20"/>
    </row>
    <row r="200" spans="1:21" ht="21.75" customHeight="1">
      <c r="A200" s="11">
        <v>191</v>
      </c>
      <c r="B200" s="12"/>
      <c r="C200" s="14" t="s">
        <v>173</v>
      </c>
      <c r="D200" s="18" t="s">
        <v>538</v>
      </c>
      <c r="E200" s="11" t="s">
        <v>175</v>
      </c>
      <c r="F200" s="20"/>
      <c r="G200" s="23"/>
      <c r="H200" s="27"/>
      <c r="I200" s="27"/>
      <c r="J200" s="27"/>
      <c r="K200" s="30"/>
      <c r="L200" s="35"/>
      <c r="M200" s="36"/>
      <c r="N200" s="20"/>
      <c r="O200" s="20"/>
    </row>
    <row r="201" spans="1:21" ht="21.75" customHeight="1">
      <c r="A201" s="16">
        <v>192</v>
      </c>
      <c r="B201" s="12"/>
      <c r="C201" s="14" t="s">
        <v>539</v>
      </c>
      <c r="D201" s="18" t="s">
        <v>540</v>
      </c>
      <c r="E201" s="11" t="s">
        <v>175</v>
      </c>
      <c r="F201" s="20"/>
      <c r="G201" s="23"/>
      <c r="H201" s="27"/>
      <c r="I201" s="27"/>
      <c r="J201" s="27"/>
      <c r="K201" s="30"/>
      <c r="L201" s="35"/>
      <c r="M201" s="36"/>
      <c r="N201" s="20"/>
      <c r="O201" s="20"/>
    </row>
    <row r="202" spans="1:21" ht="21.75" customHeight="1">
      <c r="A202" s="11">
        <v>193</v>
      </c>
      <c r="B202" s="12"/>
      <c r="C202" s="14" t="s">
        <v>541</v>
      </c>
      <c r="D202" s="18" t="s">
        <v>542</v>
      </c>
      <c r="E202" s="11" t="s">
        <v>231</v>
      </c>
      <c r="F202" s="20"/>
      <c r="G202" s="23"/>
      <c r="H202" s="27"/>
      <c r="I202" s="27"/>
      <c r="J202" s="27"/>
      <c r="K202" s="30"/>
      <c r="L202" s="35"/>
      <c r="M202" s="36"/>
      <c r="N202" s="20"/>
      <c r="O202" s="20"/>
    </row>
    <row r="203" spans="1:21" ht="15.75" customHeight="1"/>
    <row r="204" spans="1:21" ht="15.75" customHeight="1"/>
    <row r="205" spans="1:21" ht="15.75" customHeight="1"/>
    <row r="206" spans="1:21" ht="15.75" customHeight="1"/>
    <row r="207" spans="1:21" ht="15.75" customHeight="1"/>
    <row r="208" spans="1:21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10">
    <mergeCell ref="G8:J8"/>
    <mergeCell ref="K8:L8"/>
    <mergeCell ref="A1:F1"/>
    <mergeCell ref="L1:O1"/>
    <mergeCell ref="A2:F2"/>
    <mergeCell ref="A4:O4"/>
    <mergeCell ref="A5:O5"/>
    <mergeCell ref="A6:O6"/>
    <mergeCell ref="A8:F8"/>
    <mergeCell ref="M8:O8"/>
  </mergeCells>
  <pageMargins left="0.7" right="0.7" top="0.75" bottom="0.75" header="0" footer="0"/>
  <pageSetup paperSize="9" fitToHeight="0" orientation="portrait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815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D10" sqref="D10"/>
    </sheetView>
  </sheetViews>
  <sheetFormatPr defaultColWidth="14.453125" defaultRowHeight="15" customHeight="1"/>
  <cols>
    <col min="1" max="1" width="6" customWidth="1"/>
    <col min="2" max="2" width="8.7265625" hidden="1" customWidth="1"/>
    <col min="3" max="3" width="29.7265625" customWidth="1"/>
    <col min="4" max="4" width="30" customWidth="1"/>
    <col min="5" max="5" width="10" customWidth="1"/>
    <col min="6" max="6" width="22" hidden="1" customWidth="1"/>
    <col min="7" max="7" width="14" hidden="1" customWidth="1"/>
    <col min="8" max="10" width="13" hidden="1" customWidth="1"/>
    <col min="11" max="13" width="16" hidden="1" customWidth="1"/>
    <col min="14" max="14" width="32" hidden="1" customWidth="1"/>
    <col min="15" max="15" width="20" customWidth="1"/>
    <col min="16" max="26" width="8.7265625" customWidth="1"/>
  </cols>
  <sheetData>
    <row r="1" spans="1:15" ht="14.5">
      <c r="A1" s="87" t="s">
        <v>0</v>
      </c>
      <c r="B1" s="88"/>
      <c r="C1" s="88"/>
      <c r="D1" s="88"/>
      <c r="E1" s="88"/>
      <c r="F1" s="88"/>
      <c r="L1" s="89" t="s">
        <v>1</v>
      </c>
      <c r="M1" s="88"/>
      <c r="N1" s="88"/>
      <c r="O1" s="88"/>
    </row>
    <row r="2" spans="1:15" ht="14.5">
      <c r="A2" s="90" t="s">
        <v>5</v>
      </c>
      <c r="B2" s="88"/>
      <c r="C2" s="88"/>
      <c r="D2" s="88"/>
      <c r="E2" s="88"/>
      <c r="F2" s="88"/>
    </row>
    <row r="3" spans="1:15" ht="14.5" hidden="1"/>
    <row r="4" spans="1:15" ht="27.75" customHeight="1">
      <c r="A4" s="91" t="s">
        <v>7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</row>
    <row r="5" spans="1:15" ht="19.5" customHeight="1">
      <c r="A5" s="92" t="s">
        <v>9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</row>
    <row r="6" spans="1:15" ht="18" hidden="1" customHeight="1">
      <c r="A6" s="93" t="s">
        <v>10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</row>
    <row r="7" spans="1:15" ht="14.5" hidden="1"/>
    <row r="8" spans="1:15" ht="24" hidden="1" customHeight="1">
      <c r="A8" s="110" t="s">
        <v>8</v>
      </c>
      <c r="B8" s="107"/>
      <c r="C8" s="107"/>
      <c r="D8" s="107"/>
      <c r="E8" s="107"/>
      <c r="F8" s="108"/>
      <c r="G8" s="106" t="s">
        <v>11</v>
      </c>
      <c r="H8" s="107"/>
      <c r="I8" s="107"/>
      <c r="J8" s="108"/>
      <c r="K8" s="109" t="s">
        <v>12</v>
      </c>
      <c r="L8" s="108"/>
      <c r="M8" s="111"/>
      <c r="N8" s="107"/>
      <c r="O8" s="108"/>
    </row>
    <row r="9" spans="1:15" ht="27.75" customHeight="1">
      <c r="A9" s="1" t="s">
        <v>13</v>
      </c>
      <c r="B9" s="1" t="s">
        <v>14</v>
      </c>
      <c r="C9" s="1" t="s">
        <v>15</v>
      </c>
      <c r="D9" s="3" t="s">
        <v>16</v>
      </c>
      <c r="E9" s="1" t="s">
        <v>17</v>
      </c>
      <c r="F9" s="1" t="s">
        <v>18</v>
      </c>
      <c r="G9" s="5" t="s">
        <v>19</v>
      </c>
      <c r="H9" s="5" t="s">
        <v>20</v>
      </c>
      <c r="I9" s="5" t="s">
        <v>21</v>
      </c>
      <c r="J9" s="5" t="s">
        <v>22</v>
      </c>
      <c r="K9" s="7" t="s">
        <v>23</v>
      </c>
      <c r="L9" s="7" t="s">
        <v>24</v>
      </c>
      <c r="M9" s="9" t="s">
        <v>25</v>
      </c>
      <c r="N9" s="9" t="s">
        <v>26</v>
      </c>
      <c r="O9" s="9" t="s">
        <v>27</v>
      </c>
    </row>
    <row r="10" spans="1:15" ht="21.75" customHeight="1">
      <c r="A10" s="16">
        <v>1</v>
      </c>
      <c r="B10" s="12"/>
      <c r="C10" s="14" t="s">
        <v>32</v>
      </c>
      <c r="D10" s="18" t="s">
        <v>33</v>
      </c>
      <c r="E10" s="11" t="s">
        <v>37</v>
      </c>
      <c r="F10" s="20" t="s">
        <v>34</v>
      </c>
      <c r="G10" s="23"/>
      <c r="H10" s="27"/>
      <c r="I10" s="27"/>
      <c r="J10" s="27"/>
      <c r="K10" s="30"/>
      <c r="L10" s="35"/>
      <c r="M10" s="36"/>
      <c r="N10" s="20"/>
      <c r="O10" s="20" t="s">
        <v>41</v>
      </c>
    </row>
    <row r="11" spans="1:15" ht="21.75" customHeight="1">
      <c r="A11" s="11">
        <v>2</v>
      </c>
      <c r="B11" s="12"/>
      <c r="C11" s="14" t="s">
        <v>42</v>
      </c>
      <c r="D11" s="18" t="s">
        <v>43</v>
      </c>
      <c r="E11" s="11" t="s">
        <v>44</v>
      </c>
      <c r="F11" s="20" t="s">
        <v>34</v>
      </c>
      <c r="G11" s="23"/>
      <c r="H11" s="27"/>
      <c r="I11" s="27"/>
      <c r="J11" s="27"/>
      <c r="K11" s="30"/>
      <c r="L11" s="35"/>
      <c r="M11" s="36"/>
      <c r="N11" s="20"/>
      <c r="O11" s="20" t="s">
        <v>41</v>
      </c>
    </row>
    <row r="12" spans="1:15" ht="21.75" customHeight="1">
      <c r="A12" s="16">
        <v>3</v>
      </c>
      <c r="B12" s="12"/>
      <c r="C12" s="14" t="s">
        <v>42</v>
      </c>
      <c r="D12" s="18" t="s">
        <v>45</v>
      </c>
      <c r="E12" s="11" t="s">
        <v>44</v>
      </c>
      <c r="F12" s="20" t="s">
        <v>34</v>
      </c>
      <c r="G12" s="23"/>
      <c r="H12" s="27"/>
      <c r="I12" s="27"/>
      <c r="J12" s="27"/>
      <c r="K12" s="30"/>
      <c r="L12" s="35"/>
      <c r="M12" s="36"/>
      <c r="N12" s="20"/>
      <c r="O12" s="20" t="s">
        <v>41</v>
      </c>
    </row>
    <row r="13" spans="1:15" ht="21.75" customHeight="1">
      <c r="A13" s="16">
        <v>4</v>
      </c>
      <c r="B13" s="12">
        <v>1865</v>
      </c>
      <c r="C13" s="14" t="s">
        <v>46</v>
      </c>
      <c r="D13" s="18" t="s">
        <v>47</v>
      </c>
      <c r="E13" s="11" t="s">
        <v>37</v>
      </c>
      <c r="F13" s="20" t="s">
        <v>34</v>
      </c>
      <c r="G13" s="23">
        <v>0</v>
      </c>
      <c r="H13" s="27">
        <v>0</v>
      </c>
      <c r="I13" s="27">
        <v>0</v>
      </c>
      <c r="J13" s="27">
        <v>0</v>
      </c>
      <c r="K13" s="30"/>
      <c r="L13" s="35" t="str">
        <f t="shared" ref="L13:L31" si="0">IF(ISBLANK(K13),"",K13-G13)</f>
        <v/>
      </c>
      <c r="M13" s="36"/>
      <c r="N13" s="20" t="s">
        <v>48</v>
      </c>
      <c r="O13" s="20" t="s">
        <v>41</v>
      </c>
    </row>
    <row r="14" spans="1:15" ht="21.75" customHeight="1">
      <c r="A14" s="11">
        <v>5</v>
      </c>
      <c r="B14" s="39">
        <v>1866</v>
      </c>
      <c r="C14" s="40" t="s">
        <v>46</v>
      </c>
      <c r="D14" s="41" t="s">
        <v>57</v>
      </c>
      <c r="E14" s="16" t="s">
        <v>37</v>
      </c>
      <c r="F14" s="42" t="s">
        <v>34</v>
      </c>
      <c r="G14" s="43">
        <v>0</v>
      </c>
      <c r="H14" s="44">
        <v>0</v>
      </c>
      <c r="I14" s="44">
        <v>0</v>
      </c>
      <c r="J14" s="44">
        <v>0</v>
      </c>
      <c r="K14" s="30"/>
      <c r="L14" s="35" t="str">
        <f t="shared" si="0"/>
        <v/>
      </c>
      <c r="M14" s="36"/>
      <c r="N14" s="20" t="s">
        <v>48</v>
      </c>
      <c r="O14" s="20" t="s">
        <v>41</v>
      </c>
    </row>
    <row r="15" spans="1:15" ht="21.75" customHeight="1">
      <c r="A15" s="16">
        <v>6</v>
      </c>
      <c r="B15" s="12">
        <v>1867</v>
      </c>
      <c r="C15" s="14" t="s">
        <v>65</v>
      </c>
      <c r="D15" s="18" t="s">
        <v>66</v>
      </c>
      <c r="E15" s="11" t="s">
        <v>37</v>
      </c>
      <c r="F15" s="20" t="s">
        <v>34</v>
      </c>
      <c r="G15" s="23">
        <v>0</v>
      </c>
      <c r="H15" s="27">
        <v>0</v>
      </c>
      <c r="I15" s="27">
        <v>0</v>
      </c>
      <c r="J15" s="27">
        <v>0</v>
      </c>
      <c r="K15" s="30"/>
      <c r="L15" s="35" t="str">
        <f t="shared" si="0"/>
        <v/>
      </c>
      <c r="M15" s="36"/>
      <c r="N15" s="20" t="s">
        <v>48</v>
      </c>
      <c r="O15" s="20" t="s">
        <v>41</v>
      </c>
    </row>
    <row r="16" spans="1:15" ht="21.75" customHeight="1">
      <c r="A16" s="16">
        <v>7</v>
      </c>
      <c r="B16" s="39">
        <v>1868</v>
      </c>
      <c r="C16" s="40" t="s">
        <v>71</v>
      </c>
      <c r="D16" s="41" t="s">
        <v>72</v>
      </c>
      <c r="E16" s="16" t="s">
        <v>37</v>
      </c>
      <c r="F16" s="42" t="s">
        <v>34</v>
      </c>
      <c r="G16" s="43">
        <v>0</v>
      </c>
      <c r="H16" s="44">
        <v>0</v>
      </c>
      <c r="I16" s="44">
        <v>0</v>
      </c>
      <c r="J16" s="44">
        <v>0</v>
      </c>
      <c r="K16" s="30"/>
      <c r="L16" s="35" t="str">
        <f t="shared" si="0"/>
        <v/>
      </c>
      <c r="M16" s="36"/>
      <c r="N16" s="20" t="s">
        <v>48</v>
      </c>
      <c r="O16" s="20" t="s">
        <v>41</v>
      </c>
    </row>
    <row r="17" spans="1:15" ht="21.75" customHeight="1">
      <c r="A17" s="11">
        <v>8</v>
      </c>
      <c r="B17" s="12">
        <v>1869</v>
      </c>
      <c r="C17" s="14" t="s">
        <v>78</v>
      </c>
      <c r="D17" s="18" t="s">
        <v>79</v>
      </c>
      <c r="E17" s="11" t="s">
        <v>37</v>
      </c>
      <c r="F17" s="20" t="s">
        <v>34</v>
      </c>
      <c r="G17" s="23">
        <v>0</v>
      </c>
      <c r="H17" s="27">
        <v>0</v>
      </c>
      <c r="I17" s="27">
        <v>0</v>
      </c>
      <c r="J17" s="27">
        <v>0</v>
      </c>
      <c r="K17" s="30"/>
      <c r="L17" s="35" t="str">
        <f t="shared" si="0"/>
        <v/>
      </c>
      <c r="M17" s="36"/>
      <c r="N17" s="20" t="s">
        <v>48</v>
      </c>
      <c r="O17" s="20" t="s">
        <v>41</v>
      </c>
    </row>
    <row r="18" spans="1:15" ht="21.75" customHeight="1">
      <c r="A18" s="16">
        <v>9</v>
      </c>
      <c r="B18" s="39">
        <v>1870</v>
      </c>
      <c r="C18" s="40" t="s">
        <v>78</v>
      </c>
      <c r="D18" s="41" t="s">
        <v>87</v>
      </c>
      <c r="E18" s="16" t="s">
        <v>37</v>
      </c>
      <c r="F18" s="42" t="s">
        <v>34</v>
      </c>
      <c r="G18" s="43">
        <v>0</v>
      </c>
      <c r="H18" s="44">
        <v>0</v>
      </c>
      <c r="I18" s="44">
        <v>0</v>
      </c>
      <c r="J18" s="44">
        <v>0</v>
      </c>
      <c r="K18" s="30"/>
      <c r="L18" s="35" t="str">
        <f t="shared" si="0"/>
        <v/>
      </c>
      <c r="M18" s="36"/>
      <c r="N18" s="20" t="s">
        <v>48</v>
      </c>
      <c r="O18" s="20" t="s">
        <v>41</v>
      </c>
    </row>
    <row r="19" spans="1:15" ht="21.75" customHeight="1">
      <c r="A19" s="16">
        <v>10</v>
      </c>
      <c r="B19" s="12">
        <v>1871</v>
      </c>
      <c r="C19" s="14" t="s">
        <v>78</v>
      </c>
      <c r="D19" s="18" t="s">
        <v>93</v>
      </c>
      <c r="E19" s="11" t="s">
        <v>37</v>
      </c>
      <c r="F19" s="20" t="s">
        <v>34</v>
      </c>
      <c r="G19" s="23">
        <v>0</v>
      </c>
      <c r="H19" s="27">
        <v>0</v>
      </c>
      <c r="I19" s="27">
        <v>0</v>
      </c>
      <c r="J19" s="27">
        <v>0</v>
      </c>
      <c r="K19" s="30"/>
      <c r="L19" s="35" t="str">
        <f t="shared" si="0"/>
        <v/>
      </c>
      <c r="M19" s="36"/>
      <c r="N19" s="20" t="s">
        <v>48</v>
      </c>
      <c r="O19" s="20" t="s">
        <v>41</v>
      </c>
    </row>
    <row r="20" spans="1:15" ht="21.75" customHeight="1">
      <c r="A20" s="11">
        <v>11</v>
      </c>
      <c r="B20" s="39">
        <v>1872</v>
      </c>
      <c r="C20" s="40" t="s">
        <v>78</v>
      </c>
      <c r="D20" s="41" t="s">
        <v>98</v>
      </c>
      <c r="E20" s="16" t="s">
        <v>37</v>
      </c>
      <c r="F20" s="42" t="s">
        <v>34</v>
      </c>
      <c r="G20" s="43">
        <v>0</v>
      </c>
      <c r="H20" s="44">
        <v>0</v>
      </c>
      <c r="I20" s="44">
        <v>0</v>
      </c>
      <c r="J20" s="44">
        <v>0</v>
      </c>
      <c r="K20" s="30"/>
      <c r="L20" s="35" t="str">
        <f t="shared" si="0"/>
        <v/>
      </c>
      <c r="M20" s="36"/>
      <c r="N20" s="20" t="s">
        <v>48</v>
      </c>
      <c r="O20" s="20" t="s">
        <v>41</v>
      </c>
    </row>
    <row r="21" spans="1:15" ht="21.75" customHeight="1">
      <c r="A21" s="16">
        <v>12</v>
      </c>
      <c r="B21" s="12">
        <v>1873</v>
      </c>
      <c r="C21" s="14" t="s">
        <v>78</v>
      </c>
      <c r="D21" s="18" t="s">
        <v>104</v>
      </c>
      <c r="E21" s="11" t="s">
        <v>37</v>
      </c>
      <c r="F21" s="20" t="s">
        <v>34</v>
      </c>
      <c r="G21" s="23">
        <v>0</v>
      </c>
      <c r="H21" s="27">
        <v>0</v>
      </c>
      <c r="I21" s="27">
        <v>0</v>
      </c>
      <c r="J21" s="27">
        <v>0</v>
      </c>
      <c r="K21" s="30"/>
      <c r="L21" s="35" t="str">
        <f t="shared" si="0"/>
        <v/>
      </c>
      <c r="M21" s="36"/>
      <c r="N21" s="20" t="s">
        <v>48</v>
      </c>
      <c r="O21" s="20" t="s">
        <v>41</v>
      </c>
    </row>
    <row r="22" spans="1:15" ht="21.75" customHeight="1">
      <c r="A22" s="16">
        <v>13</v>
      </c>
      <c r="B22" s="39">
        <v>1874</v>
      </c>
      <c r="C22" s="40" t="s">
        <v>78</v>
      </c>
      <c r="D22" s="41" t="s">
        <v>108</v>
      </c>
      <c r="E22" s="16" t="s">
        <v>37</v>
      </c>
      <c r="F22" s="42" t="s">
        <v>34</v>
      </c>
      <c r="G22" s="43">
        <v>0</v>
      </c>
      <c r="H22" s="44">
        <v>0</v>
      </c>
      <c r="I22" s="44">
        <v>0</v>
      </c>
      <c r="J22" s="44">
        <v>0</v>
      </c>
      <c r="K22" s="30"/>
      <c r="L22" s="35" t="str">
        <f t="shared" si="0"/>
        <v/>
      </c>
      <c r="M22" s="36"/>
      <c r="N22" s="20" t="s">
        <v>48</v>
      </c>
      <c r="O22" s="20" t="s">
        <v>41</v>
      </c>
    </row>
    <row r="23" spans="1:15" ht="21.75" customHeight="1">
      <c r="A23" s="11">
        <v>14</v>
      </c>
      <c r="B23" s="12">
        <v>1875</v>
      </c>
      <c r="C23" s="14" t="s">
        <v>78</v>
      </c>
      <c r="D23" s="18" t="s">
        <v>115</v>
      </c>
      <c r="E23" s="11" t="s">
        <v>37</v>
      </c>
      <c r="F23" s="20" t="s">
        <v>34</v>
      </c>
      <c r="G23" s="23">
        <v>0</v>
      </c>
      <c r="H23" s="27">
        <v>0</v>
      </c>
      <c r="I23" s="27">
        <v>0</v>
      </c>
      <c r="J23" s="27">
        <v>0</v>
      </c>
      <c r="K23" s="30"/>
      <c r="L23" s="35" t="str">
        <f t="shared" si="0"/>
        <v/>
      </c>
      <c r="M23" s="36"/>
      <c r="N23" s="20" t="s">
        <v>48</v>
      </c>
      <c r="O23" s="20" t="s">
        <v>41</v>
      </c>
    </row>
    <row r="24" spans="1:15" ht="21.75" customHeight="1">
      <c r="A24" s="16">
        <v>15</v>
      </c>
      <c r="B24" s="39">
        <v>1876</v>
      </c>
      <c r="C24" s="40" t="s">
        <v>78</v>
      </c>
      <c r="D24" s="41" t="s">
        <v>123</v>
      </c>
      <c r="E24" s="16" t="s">
        <v>37</v>
      </c>
      <c r="F24" s="42" t="s">
        <v>34</v>
      </c>
      <c r="G24" s="43">
        <v>0</v>
      </c>
      <c r="H24" s="44">
        <v>0</v>
      </c>
      <c r="I24" s="44">
        <v>0</v>
      </c>
      <c r="J24" s="44">
        <v>0</v>
      </c>
      <c r="K24" s="30"/>
      <c r="L24" s="35" t="str">
        <f t="shared" si="0"/>
        <v/>
      </c>
      <c r="M24" s="36"/>
      <c r="N24" s="20" t="s">
        <v>48</v>
      </c>
      <c r="O24" s="20" t="s">
        <v>41</v>
      </c>
    </row>
    <row r="25" spans="1:15" ht="21.75" customHeight="1">
      <c r="A25" s="16">
        <v>16</v>
      </c>
      <c r="B25" s="12">
        <v>1877</v>
      </c>
      <c r="C25" s="14" t="s">
        <v>78</v>
      </c>
      <c r="D25" s="18" t="s">
        <v>129</v>
      </c>
      <c r="E25" s="11" t="s">
        <v>37</v>
      </c>
      <c r="F25" s="20" t="s">
        <v>34</v>
      </c>
      <c r="G25" s="23">
        <v>0</v>
      </c>
      <c r="H25" s="27">
        <v>0</v>
      </c>
      <c r="I25" s="27">
        <v>0</v>
      </c>
      <c r="J25" s="27">
        <v>0</v>
      </c>
      <c r="K25" s="30"/>
      <c r="L25" s="35" t="str">
        <f t="shared" si="0"/>
        <v/>
      </c>
      <c r="M25" s="36"/>
      <c r="N25" s="20" t="s">
        <v>48</v>
      </c>
      <c r="O25" s="20" t="s">
        <v>41</v>
      </c>
    </row>
    <row r="26" spans="1:15" ht="21.75" customHeight="1">
      <c r="A26" s="11">
        <v>17</v>
      </c>
      <c r="B26" s="39">
        <v>1878</v>
      </c>
      <c r="C26" s="40" t="s">
        <v>78</v>
      </c>
      <c r="D26" s="41" t="s">
        <v>133</v>
      </c>
      <c r="E26" s="16" t="s">
        <v>37</v>
      </c>
      <c r="F26" s="42" t="s">
        <v>34</v>
      </c>
      <c r="G26" s="43">
        <v>0</v>
      </c>
      <c r="H26" s="44">
        <v>0</v>
      </c>
      <c r="I26" s="44">
        <v>0</v>
      </c>
      <c r="J26" s="44">
        <v>0</v>
      </c>
      <c r="K26" s="30"/>
      <c r="L26" s="35" t="str">
        <f t="shared" si="0"/>
        <v/>
      </c>
      <c r="M26" s="36"/>
      <c r="N26" s="20" t="s">
        <v>48</v>
      </c>
      <c r="O26" s="20" t="s">
        <v>41</v>
      </c>
    </row>
    <row r="27" spans="1:15" ht="21.75" customHeight="1">
      <c r="A27" s="16">
        <v>18</v>
      </c>
      <c r="B27" s="12">
        <v>2392</v>
      </c>
      <c r="C27" s="14" t="s">
        <v>78</v>
      </c>
      <c r="D27" s="18" t="s">
        <v>140</v>
      </c>
      <c r="E27" s="11" t="s">
        <v>37</v>
      </c>
      <c r="F27" s="20" t="s">
        <v>34</v>
      </c>
      <c r="G27" s="23">
        <v>0</v>
      </c>
      <c r="H27" s="27">
        <v>0</v>
      </c>
      <c r="I27" s="27">
        <v>0</v>
      </c>
      <c r="J27" s="27">
        <v>0</v>
      </c>
      <c r="K27" s="30"/>
      <c r="L27" s="35" t="str">
        <f t="shared" si="0"/>
        <v/>
      </c>
      <c r="M27" s="36"/>
      <c r="N27" s="20" t="s">
        <v>48</v>
      </c>
      <c r="O27" s="20" t="s">
        <v>41</v>
      </c>
    </row>
    <row r="28" spans="1:15" ht="21.75" customHeight="1">
      <c r="A28" s="16">
        <v>19</v>
      </c>
      <c r="B28" s="39">
        <v>2400</v>
      </c>
      <c r="C28" s="40" t="s">
        <v>78</v>
      </c>
      <c r="D28" s="41" t="s">
        <v>144</v>
      </c>
      <c r="E28" s="16" t="s">
        <v>37</v>
      </c>
      <c r="F28" s="42" t="s">
        <v>34</v>
      </c>
      <c r="G28" s="43">
        <v>0</v>
      </c>
      <c r="H28" s="44">
        <v>0</v>
      </c>
      <c r="I28" s="44">
        <v>0</v>
      </c>
      <c r="J28" s="44">
        <v>0</v>
      </c>
      <c r="K28" s="30"/>
      <c r="L28" s="35" t="str">
        <f t="shared" si="0"/>
        <v/>
      </c>
      <c r="M28" s="36"/>
      <c r="N28" s="20" t="s">
        <v>48</v>
      </c>
      <c r="O28" s="20" t="s">
        <v>41</v>
      </c>
    </row>
    <row r="29" spans="1:15" ht="21.75" customHeight="1">
      <c r="A29" s="11">
        <v>20</v>
      </c>
      <c r="B29" s="12">
        <v>2414</v>
      </c>
      <c r="C29" s="14" t="s">
        <v>149</v>
      </c>
      <c r="D29" s="18" t="s">
        <v>151</v>
      </c>
      <c r="E29" s="11" t="s">
        <v>37</v>
      </c>
      <c r="F29" s="20" t="s">
        <v>34</v>
      </c>
      <c r="G29" s="23">
        <v>0</v>
      </c>
      <c r="H29" s="27">
        <v>0</v>
      </c>
      <c r="I29" s="27">
        <v>0</v>
      </c>
      <c r="J29" s="27">
        <v>0</v>
      </c>
      <c r="K29" s="30"/>
      <c r="L29" s="35" t="str">
        <f t="shared" si="0"/>
        <v/>
      </c>
      <c r="M29" s="36"/>
      <c r="N29" s="20" t="s">
        <v>48</v>
      </c>
      <c r="O29" s="20" t="s">
        <v>41</v>
      </c>
    </row>
    <row r="30" spans="1:15" ht="21.75" customHeight="1">
      <c r="A30" s="16">
        <v>21</v>
      </c>
      <c r="B30" s="39">
        <v>2417</v>
      </c>
      <c r="C30" s="40" t="s">
        <v>158</v>
      </c>
      <c r="D30" s="41" t="s">
        <v>160</v>
      </c>
      <c r="E30" s="16" t="s">
        <v>37</v>
      </c>
      <c r="F30" s="42" t="s">
        <v>34</v>
      </c>
      <c r="G30" s="43">
        <v>0</v>
      </c>
      <c r="H30" s="44">
        <v>0</v>
      </c>
      <c r="I30" s="44">
        <v>0</v>
      </c>
      <c r="J30" s="44">
        <v>0</v>
      </c>
      <c r="K30" s="30"/>
      <c r="L30" s="35" t="str">
        <f t="shared" si="0"/>
        <v/>
      </c>
      <c r="M30" s="36"/>
      <c r="N30" s="20" t="s">
        <v>48</v>
      </c>
      <c r="O30" s="20" t="s">
        <v>41</v>
      </c>
    </row>
    <row r="31" spans="1:15" ht="21.75" customHeight="1">
      <c r="A31" s="16">
        <v>22</v>
      </c>
      <c r="B31" s="12">
        <v>2418</v>
      </c>
      <c r="C31" s="14" t="s">
        <v>158</v>
      </c>
      <c r="D31" s="18" t="s">
        <v>167</v>
      </c>
      <c r="E31" s="11" t="s">
        <v>37</v>
      </c>
      <c r="F31" s="20" t="s">
        <v>34</v>
      </c>
      <c r="G31" s="23">
        <v>0</v>
      </c>
      <c r="H31" s="27">
        <v>0</v>
      </c>
      <c r="I31" s="27">
        <v>0</v>
      </c>
      <c r="J31" s="27">
        <v>0</v>
      </c>
      <c r="K31" s="30"/>
      <c r="L31" s="35" t="str">
        <f t="shared" si="0"/>
        <v/>
      </c>
      <c r="M31" s="36"/>
      <c r="N31" s="20" t="s">
        <v>48</v>
      </c>
      <c r="O31" s="20" t="s">
        <v>41</v>
      </c>
    </row>
    <row r="32" spans="1:15" ht="15.75" customHeight="1">
      <c r="A32" s="11">
        <v>23</v>
      </c>
      <c r="B32" s="12"/>
      <c r="C32" s="14" t="s">
        <v>170</v>
      </c>
      <c r="D32" s="18" t="s">
        <v>171</v>
      </c>
      <c r="E32" s="11" t="s">
        <v>37</v>
      </c>
      <c r="F32" s="20"/>
      <c r="G32" s="23"/>
      <c r="H32" s="27"/>
      <c r="I32" s="27"/>
      <c r="J32" s="27"/>
      <c r="K32" s="30"/>
      <c r="L32" s="35"/>
      <c r="M32" s="36"/>
      <c r="N32" s="20"/>
      <c r="O32" s="20" t="s">
        <v>41</v>
      </c>
    </row>
    <row r="33" spans="1:15" ht="15.75" customHeight="1">
      <c r="A33" s="16">
        <v>24</v>
      </c>
      <c r="B33" s="12"/>
      <c r="C33" s="14" t="s">
        <v>176</v>
      </c>
      <c r="D33" s="18" t="s">
        <v>177</v>
      </c>
      <c r="E33" s="11" t="s">
        <v>37</v>
      </c>
      <c r="F33" s="20"/>
      <c r="G33" s="23"/>
      <c r="H33" s="27"/>
      <c r="I33" s="27"/>
      <c r="J33" s="27"/>
      <c r="K33" s="30"/>
      <c r="L33" s="35"/>
      <c r="M33" s="36"/>
      <c r="N33" s="20"/>
      <c r="O33" s="20" t="s">
        <v>41</v>
      </c>
    </row>
    <row r="34" spans="1:15" ht="15.75" customHeight="1">
      <c r="A34" s="16">
        <v>25</v>
      </c>
      <c r="B34" s="12"/>
      <c r="C34" s="14" t="s">
        <v>182</v>
      </c>
      <c r="D34" s="18" t="s">
        <v>183</v>
      </c>
      <c r="E34" s="11" t="s">
        <v>37</v>
      </c>
      <c r="F34" s="20"/>
      <c r="G34" s="23"/>
      <c r="H34" s="27"/>
      <c r="I34" s="27"/>
      <c r="J34" s="27"/>
      <c r="K34" s="30"/>
      <c r="L34" s="35"/>
      <c r="M34" s="36"/>
      <c r="N34" s="20"/>
      <c r="O34" s="20" t="s">
        <v>41</v>
      </c>
    </row>
    <row r="35" spans="1:15" ht="15.75" customHeight="1">
      <c r="A35" s="11">
        <v>26</v>
      </c>
      <c r="B35" s="12"/>
      <c r="C35" s="14" t="s">
        <v>186</v>
      </c>
      <c r="D35" s="18" t="s">
        <v>187</v>
      </c>
      <c r="E35" s="11" t="s">
        <v>37</v>
      </c>
      <c r="F35" s="20"/>
      <c r="G35" s="23"/>
      <c r="H35" s="27"/>
      <c r="I35" s="27"/>
      <c r="J35" s="27"/>
      <c r="K35" s="30"/>
      <c r="L35" s="35"/>
      <c r="M35" s="36"/>
      <c r="N35" s="20"/>
      <c r="O35" s="20" t="s">
        <v>41</v>
      </c>
    </row>
    <row r="36" spans="1:15" ht="15.75" customHeight="1">
      <c r="A36" s="16">
        <v>27</v>
      </c>
      <c r="B36" s="12"/>
      <c r="C36" s="14" t="s">
        <v>128</v>
      </c>
      <c r="D36" s="18" t="s">
        <v>189</v>
      </c>
      <c r="E36" s="11" t="s">
        <v>37</v>
      </c>
      <c r="F36" s="20"/>
      <c r="G36" s="23"/>
      <c r="H36" s="27"/>
      <c r="I36" s="27"/>
      <c r="J36" s="27"/>
      <c r="K36" s="30"/>
      <c r="L36" s="35"/>
      <c r="M36" s="36"/>
      <c r="N36" s="20"/>
      <c r="O36" s="20" t="s">
        <v>41</v>
      </c>
    </row>
    <row r="37" spans="1:15" ht="15.75" customHeight="1">
      <c r="A37" s="16">
        <v>28</v>
      </c>
      <c r="B37" s="12"/>
      <c r="C37" s="14" t="s">
        <v>191</v>
      </c>
      <c r="D37" s="18" t="s">
        <v>192</v>
      </c>
      <c r="E37" s="11" t="s">
        <v>37</v>
      </c>
      <c r="F37" s="20"/>
      <c r="G37" s="23"/>
      <c r="H37" s="27"/>
      <c r="I37" s="27"/>
      <c r="J37" s="27"/>
      <c r="K37" s="30"/>
      <c r="L37" s="35"/>
      <c r="M37" s="36"/>
      <c r="N37" s="20"/>
      <c r="O37" s="20" t="s">
        <v>41</v>
      </c>
    </row>
    <row r="38" spans="1:15" ht="15.75" customHeight="1"/>
    <row r="39" spans="1:15" ht="15.75" customHeight="1"/>
    <row r="40" spans="1:15" ht="15.75" customHeight="1"/>
    <row r="41" spans="1:15" ht="15.75" customHeight="1"/>
    <row r="42" spans="1:15" ht="15.75" customHeight="1"/>
    <row r="43" spans="1:15" ht="15.75" customHeight="1"/>
    <row r="44" spans="1:15" ht="15.75" customHeight="1"/>
    <row r="45" spans="1:15" ht="15.75" customHeight="1"/>
    <row r="46" spans="1:15" ht="15.75" customHeight="1"/>
    <row r="47" spans="1:15" ht="15.75" customHeight="1"/>
    <row r="48" spans="1:1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</sheetData>
  <mergeCells count="10">
    <mergeCell ref="G8:J8"/>
    <mergeCell ref="K8:L8"/>
    <mergeCell ref="A1:F1"/>
    <mergeCell ref="L1:O1"/>
    <mergeCell ref="A2:F2"/>
    <mergeCell ref="A4:O4"/>
    <mergeCell ref="A5:O5"/>
    <mergeCell ref="A6:O6"/>
    <mergeCell ref="A8:F8"/>
    <mergeCell ref="M8:O8"/>
  </mergeCells>
  <pageMargins left="0.7" right="0.7" top="0.75" bottom="0.75" header="0" footer="0"/>
  <pageSetup paperSize="9" fitToHeight="0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9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D10" sqref="D10"/>
    </sheetView>
  </sheetViews>
  <sheetFormatPr defaultColWidth="14.453125" defaultRowHeight="15" customHeight="1"/>
  <cols>
    <col min="1" max="1" width="6" customWidth="1"/>
    <col min="2" max="2" width="8.7265625" hidden="1" customWidth="1"/>
    <col min="3" max="3" width="29" customWidth="1"/>
    <col min="4" max="4" width="38.453125" customWidth="1"/>
    <col min="5" max="5" width="10" customWidth="1"/>
    <col min="6" max="6" width="22" hidden="1" customWidth="1"/>
    <col min="7" max="7" width="14" hidden="1" customWidth="1"/>
    <col min="8" max="10" width="13" hidden="1" customWidth="1"/>
    <col min="11" max="13" width="16" hidden="1" customWidth="1"/>
    <col min="14" max="14" width="32" hidden="1" customWidth="1"/>
    <col min="15" max="15" width="20" customWidth="1"/>
    <col min="16" max="26" width="8.7265625" customWidth="1"/>
  </cols>
  <sheetData>
    <row r="1" spans="1:15" ht="14.5">
      <c r="A1" s="87" t="s">
        <v>0</v>
      </c>
      <c r="B1" s="88"/>
      <c r="C1" s="88"/>
      <c r="D1" s="88"/>
      <c r="E1" s="88"/>
      <c r="F1" s="88"/>
      <c r="L1" s="89" t="s">
        <v>1</v>
      </c>
      <c r="M1" s="88"/>
      <c r="N1" s="88"/>
      <c r="O1" s="88"/>
    </row>
    <row r="2" spans="1:15" ht="14.5">
      <c r="A2" s="90" t="s">
        <v>420</v>
      </c>
      <c r="B2" s="88"/>
      <c r="C2" s="88"/>
      <c r="D2" s="88"/>
      <c r="E2" s="88"/>
      <c r="F2" s="88"/>
    </row>
    <row r="3" spans="1:15" ht="14.5" hidden="1"/>
    <row r="4" spans="1:15" ht="27.75" customHeight="1">
      <c r="A4" s="91" t="s">
        <v>422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</row>
    <row r="5" spans="1:15" ht="19.5" customHeight="1">
      <c r="A5" s="92" t="s">
        <v>423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</row>
    <row r="6" spans="1:15" ht="18" hidden="1" customHeight="1">
      <c r="A6" s="93" t="s">
        <v>425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</row>
    <row r="7" spans="1:15" ht="14.5" hidden="1"/>
    <row r="8" spans="1:15" ht="24" hidden="1" customHeight="1">
      <c r="A8" s="110" t="s">
        <v>8</v>
      </c>
      <c r="B8" s="107"/>
      <c r="C8" s="107"/>
      <c r="D8" s="107"/>
      <c r="E8" s="107"/>
      <c r="F8" s="108"/>
      <c r="G8" s="106" t="s">
        <v>11</v>
      </c>
      <c r="H8" s="107"/>
      <c r="I8" s="107"/>
      <c r="J8" s="108"/>
      <c r="K8" s="109" t="s">
        <v>12</v>
      </c>
      <c r="L8" s="108"/>
      <c r="M8" s="111"/>
      <c r="N8" s="107"/>
      <c r="O8" s="108"/>
    </row>
    <row r="9" spans="1:15" ht="27.75" customHeight="1">
      <c r="A9" s="1" t="s">
        <v>13</v>
      </c>
      <c r="B9" s="1" t="s">
        <v>14</v>
      </c>
      <c r="C9" s="1" t="s">
        <v>15</v>
      </c>
      <c r="D9" s="3" t="s">
        <v>16</v>
      </c>
      <c r="E9" s="1" t="s">
        <v>17</v>
      </c>
      <c r="F9" s="1" t="s">
        <v>18</v>
      </c>
      <c r="G9" s="5" t="s">
        <v>19</v>
      </c>
      <c r="H9" s="5" t="s">
        <v>20</v>
      </c>
      <c r="I9" s="5" t="s">
        <v>21</v>
      </c>
      <c r="J9" s="5" t="s">
        <v>22</v>
      </c>
      <c r="K9" s="7" t="s">
        <v>23</v>
      </c>
      <c r="L9" s="7" t="s">
        <v>24</v>
      </c>
      <c r="M9" s="9" t="s">
        <v>25</v>
      </c>
      <c r="N9" s="9" t="s">
        <v>26</v>
      </c>
      <c r="O9" s="9" t="s">
        <v>27</v>
      </c>
    </row>
    <row r="10" spans="1:15" ht="21.75" customHeight="1">
      <c r="A10" s="11">
        <v>1</v>
      </c>
      <c r="B10" s="12">
        <v>2065</v>
      </c>
      <c r="C10" s="14" t="s">
        <v>28</v>
      </c>
      <c r="D10" s="18" t="s">
        <v>29</v>
      </c>
      <c r="E10" s="11" t="s">
        <v>31</v>
      </c>
      <c r="F10" s="20" t="s">
        <v>434</v>
      </c>
      <c r="G10" s="23">
        <v>0</v>
      </c>
      <c r="H10" s="27">
        <v>0</v>
      </c>
      <c r="I10" s="27">
        <v>0</v>
      </c>
      <c r="J10" s="27">
        <v>0</v>
      </c>
      <c r="K10" s="30"/>
      <c r="L10" s="35" t="str">
        <f t="shared" ref="L10:L135" si="0">IF(ISBLANK(K10),"",K10-G10)</f>
        <v/>
      </c>
      <c r="M10" s="36"/>
      <c r="N10" s="20" t="s">
        <v>48</v>
      </c>
      <c r="O10" s="20" t="s">
        <v>48</v>
      </c>
    </row>
    <row r="11" spans="1:15" ht="21.75" customHeight="1">
      <c r="A11" s="16">
        <v>2</v>
      </c>
      <c r="B11" s="39">
        <v>2454</v>
      </c>
      <c r="C11" s="40" t="s">
        <v>28</v>
      </c>
      <c r="D11" s="41" t="s">
        <v>53</v>
      </c>
      <c r="E11" s="16" t="s">
        <v>31</v>
      </c>
      <c r="F11" s="42" t="s">
        <v>434</v>
      </c>
      <c r="G11" s="43">
        <v>0</v>
      </c>
      <c r="H11" s="44">
        <v>9</v>
      </c>
      <c r="I11" s="44">
        <v>0</v>
      </c>
      <c r="J11" s="44">
        <v>0</v>
      </c>
      <c r="K11" s="30"/>
      <c r="L11" s="35" t="str">
        <f t="shared" si="0"/>
        <v/>
      </c>
      <c r="M11" s="36"/>
      <c r="N11" s="20" t="s">
        <v>48</v>
      </c>
      <c r="O11" s="20" t="s">
        <v>48</v>
      </c>
    </row>
    <row r="12" spans="1:15" ht="21.75" customHeight="1">
      <c r="A12" s="11">
        <v>3</v>
      </c>
      <c r="B12" s="12">
        <v>1989</v>
      </c>
      <c r="C12" s="14" t="s">
        <v>28</v>
      </c>
      <c r="D12" s="18" t="s">
        <v>59</v>
      </c>
      <c r="E12" s="11" t="s">
        <v>31</v>
      </c>
      <c r="F12" s="20" t="s">
        <v>434</v>
      </c>
      <c r="G12" s="23">
        <v>0</v>
      </c>
      <c r="H12" s="27">
        <v>0</v>
      </c>
      <c r="I12" s="27">
        <v>0</v>
      </c>
      <c r="J12" s="27">
        <v>0</v>
      </c>
      <c r="K12" s="30"/>
      <c r="L12" s="35" t="str">
        <f t="shared" si="0"/>
        <v/>
      </c>
      <c r="M12" s="36"/>
      <c r="N12" s="20" t="s">
        <v>48</v>
      </c>
      <c r="O12" s="20" t="s">
        <v>48</v>
      </c>
    </row>
    <row r="13" spans="1:15" ht="21.75" customHeight="1">
      <c r="A13" s="16">
        <v>4</v>
      </c>
      <c r="B13" s="39">
        <v>1990</v>
      </c>
      <c r="C13" s="40" t="s">
        <v>28</v>
      </c>
      <c r="D13" s="41" t="s">
        <v>64</v>
      </c>
      <c r="E13" s="16" t="s">
        <v>31</v>
      </c>
      <c r="F13" s="42" t="s">
        <v>434</v>
      </c>
      <c r="G13" s="43">
        <v>0</v>
      </c>
      <c r="H13" s="44">
        <v>0</v>
      </c>
      <c r="I13" s="44">
        <v>0</v>
      </c>
      <c r="J13" s="44">
        <v>0</v>
      </c>
      <c r="K13" s="30"/>
      <c r="L13" s="35" t="str">
        <f t="shared" si="0"/>
        <v/>
      </c>
      <c r="M13" s="36"/>
      <c r="N13" s="20" t="s">
        <v>48</v>
      </c>
      <c r="O13" s="20" t="s">
        <v>48</v>
      </c>
    </row>
    <row r="14" spans="1:15" ht="21.75" customHeight="1">
      <c r="A14" s="11">
        <v>5</v>
      </c>
      <c r="B14" s="12">
        <v>1991</v>
      </c>
      <c r="C14" s="14" t="s">
        <v>28</v>
      </c>
      <c r="D14" s="18" t="s">
        <v>70</v>
      </c>
      <c r="E14" s="11" t="s">
        <v>31</v>
      </c>
      <c r="F14" s="20" t="s">
        <v>434</v>
      </c>
      <c r="G14" s="23">
        <v>0</v>
      </c>
      <c r="H14" s="27">
        <v>0</v>
      </c>
      <c r="I14" s="27">
        <v>0</v>
      </c>
      <c r="J14" s="27">
        <v>0</v>
      </c>
      <c r="K14" s="30"/>
      <c r="L14" s="35" t="str">
        <f t="shared" si="0"/>
        <v/>
      </c>
      <c r="M14" s="36"/>
      <c r="N14" s="20" t="s">
        <v>48</v>
      </c>
      <c r="O14" s="20" t="s">
        <v>48</v>
      </c>
    </row>
    <row r="15" spans="1:15" ht="21.75" customHeight="1">
      <c r="A15" s="16">
        <v>6</v>
      </c>
      <c r="B15" s="39">
        <v>2455</v>
      </c>
      <c r="C15" s="40" t="s">
        <v>28</v>
      </c>
      <c r="D15" s="41" t="s">
        <v>77</v>
      </c>
      <c r="E15" s="16" t="s">
        <v>31</v>
      </c>
      <c r="F15" s="42" t="s">
        <v>434</v>
      </c>
      <c r="G15" s="43">
        <v>20</v>
      </c>
      <c r="H15" s="44">
        <v>49</v>
      </c>
      <c r="I15" s="44">
        <v>30</v>
      </c>
      <c r="J15" s="44">
        <v>0</v>
      </c>
      <c r="K15" s="30"/>
      <c r="L15" s="35" t="str">
        <f t="shared" si="0"/>
        <v/>
      </c>
      <c r="M15" s="36"/>
      <c r="N15" s="20" t="s">
        <v>48</v>
      </c>
      <c r="O15" s="20" t="s">
        <v>48</v>
      </c>
    </row>
    <row r="16" spans="1:15" ht="21.75" customHeight="1">
      <c r="A16" s="11">
        <v>7</v>
      </c>
      <c r="B16" s="12">
        <v>2456</v>
      </c>
      <c r="C16" s="14" t="s">
        <v>28</v>
      </c>
      <c r="D16" s="18" t="s">
        <v>82</v>
      </c>
      <c r="E16" s="11" t="s">
        <v>31</v>
      </c>
      <c r="F16" s="20" t="s">
        <v>434</v>
      </c>
      <c r="G16" s="23">
        <v>2</v>
      </c>
      <c r="H16" s="27">
        <v>12</v>
      </c>
      <c r="I16" s="27">
        <v>10</v>
      </c>
      <c r="J16" s="27">
        <v>0</v>
      </c>
      <c r="K16" s="30"/>
      <c r="L16" s="35" t="str">
        <f t="shared" si="0"/>
        <v/>
      </c>
      <c r="M16" s="36"/>
      <c r="N16" s="20" t="s">
        <v>48</v>
      </c>
      <c r="O16" s="20" t="s">
        <v>48</v>
      </c>
    </row>
    <row r="17" spans="1:15" ht="21.75" customHeight="1">
      <c r="A17" s="16">
        <v>8</v>
      </c>
      <c r="B17" s="39">
        <v>2055</v>
      </c>
      <c r="C17" s="40" t="s">
        <v>28</v>
      </c>
      <c r="D17" s="41" t="s">
        <v>86</v>
      </c>
      <c r="E17" s="16" t="s">
        <v>31</v>
      </c>
      <c r="F17" s="42" t="s">
        <v>434</v>
      </c>
      <c r="G17" s="43">
        <v>0</v>
      </c>
      <c r="H17" s="44">
        <v>0</v>
      </c>
      <c r="I17" s="44">
        <v>0</v>
      </c>
      <c r="J17" s="44">
        <v>0</v>
      </c>
      <c r="K17" s="30"/>
      <c r="L17" s="35" t="str">
        <f t="shared" si="0"/>
        <v/>
      </c>
      <c r="M17" s="36"/>
      <c r="N17" s="20" t="s">
        <v>48</v>
      </c>
      <c r="O17" s="20" t="s">
        <v>48</v>
      </c>
    </row>
    <row r="18" spans="1:15" ht="21.75" customHeight="1">
      <c r="A18" s="11">
        <v>9</v>
      </c>
      <c r="B18" s="12">
        <v>2054</v>
      </c>
      <c r="C18" s="14" t="s">
        <v>28</v>
      </c>
      <c r="D18" s="18" t="s">
        <v>91</v>
      </c>
      <c r="E18" s="11" t="s">
        <v>31</v>
      </c>
      <c r="F18" s="20" t="s">
        <v>434</v>
      </c>
      <c r="G18" s="23">
        <v>0</v>
      </c>
      <c r="H18" s="27">
        <v>0</v>
      </c>
      <c r="I18" s="27">
        <v>0</v>
      </c>
      <c r="J18" s="27">
        <v>0</v>
      </c>
      <c r="K18" s="30"/>
      <c r="L18" s="35" t="str">
        <f t="shared" si="0"/>
        <v/>
      </c>
      <c r="M18" s="36"/>
      <c r="N18" s="20" t="s">
        <v>48</v>
      </c>
      <c r="O18" s="20" t="s">
        <v>48</v>
      </c>
    </row>
    <row r="19" spans="1:15" ht="21.75" customHeight="1">
      <c r="A19" s="16">
        <v>10</v>
      </c>
      <c r="B19" s="39">
        <v>2053</v>
      </c>
      <c r="C19" s="40" t="s">
        <v>28</v>
      </c>
      <c r="D19" s="41" t="s">
        <v>96</v>
      </c>
      <c r="E19" s="16" t="s">
        <v>31</v>
      </c>
      <c r="F19" s="42" t="s">
        <v>434</v>
      </c>
      <c r="G19" s="43">
        <v>0</v>
      </c>
      <c r="H19" s="44">
        <v>0</v>
      </c>
      <c r="I19" s="44">
        <v>0</v>
      </c>
      <c r="J19" s="44">
        <v>0</v>
      </c>
      <c r="K19" s="30"/>
      <c r="L19" s="35" t="str">
        <f t="shared" si="0"/>
        <v/>
      </c>
      <c r="M19" s="36"/>
      <c r="N19" s="20" t="s">
        <v>48</v>
      </c>
      <c r="O19" s="20" t="s">
        <v>48</v>
      </c>
    </row>
    <row r="20" spans="1:15" ht="21.75" customHeight="1">
      <c r="A20" s="11">
        <v>11</v>
      </c>
      <c r="B20" s="12">
        <v>2611</v>
      </c>
      <c r="C20" s="14" t="s">
        <v>28</v>
      </c>
      <c r="D20" s="18" t="s">
        <v>102</v>
      </c>
      <c r="E20" s="11" t="s">
        <v>31</v>
      </c>
      <c r="F20" s="20" t="s">
        <v>434</v>
      </c>
      <c r="G20" s="23">
        <v>4</v>
      </c>
      <c r="H20" s="27">
        <v>3</v>
      </c>
      <c r="I20" s="27">
        <v>0</v>
      </c>
      <c r="J20" s="27">
        <v>0</v>
      </c>
      <c r="K20" s="30"/>
      <c r="L20" s="35" t="str">
        <f t="shared" si="0"/>
        <v/>
      </c>
      <c r="M20" s="36"/>
      <c r="N20" s="20" t="s">
        <v>48</v>
      </c>
      <c r="O20" s="20" t="s">
        <v>48</v>
      </c>
    </row>
    <row r="21" spans="1:15" ht="21.75" customHeight="1">
      <c r="A21" s="16">
        <v>12</v>
      </c>
      <c r="B21" s="39">
        <v>2066</v>
      </c>
      <c r="C21" s="40" t="s">
        <v>28</v>
      </c>
      <c r="D21" s="41" t="s">
        <v>107</v>
      </c>
      <c r="E21" s="16" t="s">
        <v>31</v>
      </c>
      <c r="F21" s="42" t="s">
        <v>434</v>
      </c>
      <c r="G21" s="43">
        <v>0</v>
      </c>
      <c r="H21" s="44">
        <v>0</v>
      </c>
      <c r="I21" s="44">
        <v>0</v>
      </c>
      <c r="J21" s="44">
        <v>0</v>
      </c>
      <c r="K21" s="30"/>
      <c r="L21" s="35" t="str">
        <f t="shared" si="0"/>
        <v/>
      </c>
      <c r="M21" s="36"/>
      <c r="N21" s="20" t="s">
        <v>48</v>
      </c>
      <c r="O21" s="20" t="s">
        <v>48</v>
      </c>
    </row>
    <row r="22" spans="1:15" ht="21.75" customHeight="1">
      <c r="A22" s="11">
        <v>13</v>
      </c>
      <c r="B22" s="12">
        <v>2612</v>
      </c>
      <c r="C22" s="14" t="s">
        <v>28</v>
      </c>
      <c r="D22" s="18" t="s">
        <v>113</v>
      </c>
      <c r="E22" s="11" t="s">
        <v>31</v>
      </c>
      <c r="F22" s="20" t="s">
        <v>434</v>
      </c>
      <c r="G22" s="23">
        <v>9</v>
      </c>
      <c r="H22" s="27">
        <v>42</v>
      </c>
      <c r="I22" s="27">
        <v>31</v>
      </c>
      <c r="J22" s="27">
        <v>0</v>
      </c>
      <c r="K22" s="30"/>
      <c r="L22" s="35" t="str">
        <f t="shared" si="0"/>
        <v/>
      </c>
      <c r="M22" s="36"/>
      <c r="N22" s="20" t="s">
        <v>48</v>
      </c>
      <c r="O22" s="20" t="s">
        <v>48</v>
      </c>
    </row>
    <row r="23" spans="1:15" ht="21.75" customHeight="1">
      <c r="A23" s="16">
        <v>14</v>
      </c>
      <c r="B23" s="39">
        <v>2064</v>
      </c>
      <c r="C23" s="40" t="s">
        <v>28</v>
      </c>
      <c r="D23" s="41" t="s">
        <v>116</v>
      </c>
      <c r="E23" s="16" t="s">
        <v>31</v>
      </c>
      <c r="F23" s="42" t="s">
        <v>434</v>
      </c>
      <c r="G23" s="43">
        <v>0</v>
      </c>
      <c r="H23" s="44">
        <v>0</v>
      </c>
      <c r="I23" s="44">
        <v>0</v>
      </c>
      <c r="J23" s="44">
        <v>0</v>
      </c>
      <c r="K23" s="30"/>
      <c r="L23" s="35" t="str">
        <f t="shared" si="0"/>
        <v/>
      </c>
      <c r="M23" s="36"/>
      <c r="N23" s="20" t="s">
        <v>48</v>
      </c>
      <c r="O23" s="20" t="s">
        <v>48</v>
      </c>
    </row>
    <row r="24" spans="1:15" ht="21.75" customHeight="1">
      <c r="A24" s="11">
        <v>15</v>
      </c>
      <c r="B24" s="12">
        <v>2457</v>
      </c>
      <c r="C24" s="14" t="s">
        <v>28</v>
      </c>
      <c r="D24" s="18" t="s">
        <v>121</v>
      </c>
      <c r="E24" s="11" t="s">
        <v>31</v>
      </c>
      <c r="F24" s="20" t="s">
        <v>434</v>
      </c>
      <c r="G24" s="23">
        <v>10</v>
      </c>
      <c r="H24" s="27">
        <v>437</v>
      </c>
      <c r="I24" s="27">
        <v>10</v>
      </c>
      <c r="J24" s="27">
        <v>10</v>
      </c>
      <c r="K24" s="30"/>
      <c r="L24" s="35" t="str">
        <f t="shared" si="0"/>
        <v/>
      </c>
      <c r="M24" s="36"/>
      <c r="N24" s="20" t="s">
        <v>48</v>
      </c>
      <c r="O24" s="20" t="s">
        <v>48</v>
      </c>
    </row>
    <row r="25" spans="1:15" ht="21.75" customHeight="1">
      <c r="A25" s="16">
        <v>16</v>
      </c>
      <c r="B25" s="39">
        <v>2080</v>
      </c>
      <c r="C25" s="40" t="s">
        <v>28</v>
      </c>
      <c r="D25" s="41" t="s">
        <v>126</v>
      </c>
      <c r="E25" s="16" t="s">
        <v>31</v>
      </c>
      <c r="F25" s="42" t="s">
        <v>434</v>
      </c>
      <c r="G25" s="43">
        <v>0</v>
      </c>
      <c r="H25" s="44">
        <v>0</v>
      </c>
      <c r="I25" s="44">
        <v>0</v>
      </c>
      <c r="J25" s="44">
        <v>0</v>
      </c>
      <c r="K25" s="30"/>
      <c r="L25" s="35" t="str">
        <f t="shared" si="0"/>
        <v/>
      </c>
      <c r="M25" s="36"/>
      <c r="N25" s="20" t="s">
        <v>48</v>
      </c>
      <c r="O25" s="20" t="s">
        <v>48</v>
      </c>
    </row>
    <row r="26" spans="1:15" ht="21.75" customHeight="1">
      <c r="A26" s="11">
        <v>17</v>
      </c>
      <c r="B26" s="12">
        <v>2081</v>
      </c>
      <c r="C26" s="14" t="s">
        <v>28</v>
      </c>
      <c r="D26" s="18" t="s">
        <v>132</v>
      </c>
      <c r="E26" s="11" t="s">
        <v>31</v>
      </c>
      <c r="F26" s="20" t="s">
        <v>434</v>
      </c>
      <c r="G26" s="23">
        <v>0</v>
      </c>
      <c r="H26" s="27">
        <v>0</v>
      </c>
      <c r="I26" s="27">
        <v>0</v>
      </c>
      <c r="J26" s="27">
        <v>0</v>
      </c>
      <c r="K26" s="30"/>
      <c r="L26" s="35" t="str">
        <f t="shared" si="0"/>
        <v/>
      </c>
      <c r="M26" s="36"/>
      <c r="N26" s="20" t="s">
        <v>48</v>
      </c>
      <c r="O26" s="20" t="s">
        <v>48</v>
      </c>
    </row>
    <row r="27" spans="1:15" ht="21.75" customHeight="1">
      <c r="A27" s="16">
        <v>18</v>
      </c>
      <c r="B27" s="39">
        <v>2458</v>
      </c>
      <c r="C27" s="40" t="s">
        <v>28</v>
      </c>
      <c r="D27" s="41" t="s">
        <v>139</v>
      </c>
      <c r="E27" s="16" t="s">
        <v>31</v>
      </c>
      <c r="F27" s="42" t="s">
        <v>434</v>
      </c>
      <c r="G27" s="43">
        <v>0</v>
      </c>
      <c r="H27" s="44">
        <v>12</v>
      </c>
      <c r="I27" s="44">
        <v>3</v>
      </c>
      <c r="J27" s="44">
        <v>0</v>
      </c>
      <c r="K27" s="30"/>
      <c r="L27" s="35" t="str">
        <f t="shared" si="0"/>
        <v/>
      </c>
      <c r="M27" s="36"/>
      <c r="N27" s="20" t="s">
        <v>48</v>
      </c>
      <c r="O27" s="20" t="s">
        <v>48</v>
      </c>
    </row>
    <row r="28" spans="1:15" ht="21.75" customHeight="1">
      <c r="A28" s="11">
        <v>19</v>
      </c>
      <c r="B28" s="12">
        <v>2459</v>
      </c>
      <c r="C28" s="14" t="s">
        <v>28</v>
      </c>
      <c r="D28" s="18" t="s">
        <v>143</v>
      </c>
      <c r="E28" s="11" t="s">
        <v>31</v>
      </c>
      <c r="F28" s="20" t="s">
        <v>434</v>
      </c>
      <c r="G28" s="23">
        <v>6</v>
      </c>
      <c r="H28" s="27">
        <v>22</v>
      </c>
      <c r="I28" s="27">
        <v>4</v>
      </c>
      <c r="J28" s="27">
        <v>1</v>
      </c>
      <c r="K28" s="30"/>
      <c r="L28" s="35" t="str">
        <f t="shared" si="0"/>
        <v/>
      </c>
      <c r="M28" s="36"/>
      <c r="N28" s="20" t="s">
        <v>48</v>
      </c>
      <c r="O28" s="20" t="s">
        <v>48</v>
      </c>
    </row>
    <row r="29" spans="1:15" ht="21.75" customHeight="1">
      <c r="A29" s="16">
        <v>20</v>
      </c>
      <c r="B29" s="39">
        <v>2073</v>
      </c>
      <c r="C29" s="40" t="s">
        <v>28</v>
      </c>
      <c r="D29" s="41" t="s">
        <v>150</v>
      </c>
      <c r="E29" s="16" t="s">
        <v>31</v>
      </c>
      <c r="F29" s="42" t="s">
        <v>434</v>
      </c>
      <c r="G29" s="43">
        <v>0</v>
      </c>
      <c r="H29" s="44">
        <v>0</v>
      </c>
      <c r="I29" s="44">
        <v>0</v>
      </c>
      <c r="J29" s="44">
        <v>0</v>
      </c>
      <c r="K29" s="30"/>
      <c r="L29" s="35" t="str">
        <f t="shared" si="0"/>
        <v/>
      </c>
      <c r="M29" s="36"/>
      <c r="N29" s="20" t="s">
        <v>48</v>
      </c>
      <c r="O29" s="20" t="s">
        <v>48</v>
      </c>
    </row>
    <row r="30" spans="1:15" ht="21.75" customHeight="1">
      <c r="A30" s="11">
        <v>21</v>
      </c>
      <c r="B30" s="12">
        <v>2047</v>
      </c>
      <c r="C30" s="14" t="s">
        <v>28</v>
      </c>
      <c r="D30" s="18" t="s">
        <v>157</v>
      </c>
      <c r="E30" s="11" t="s">
        <v>31</v>
      </c>
      <c r="F30" s="20" t="s">
        <v>434</v>
      </c>
      <c r="G30" s="23">
        <v>0</v>
      </c>
      <c r="H30" s="27">
        <v>0</v>
      </c>
      <c r="I30" s="27">
        <v>0</v>
      </c>
      <c r="J30" s="27">
        <v>0</v>
      </c>
      <c r="K30" s="30"/>
      <c r="L30" s="35" t="str">
        <f t="shared" si="0"/>
        <v/>
      </c>
      <c r="M30" s="36"/>
      <c r="N30" s="20" t="s">
        <v>48</v>
      </c>
      <c r="O30" s="20" t="s">
        <v>48</v>
      </c>
    </row>
    <row r="31" spans="1:15" ht="21.75" customHeight="1">
      <c r="A31" s="16">
        <v>22</v>
      </c>
      <c r="B31" s="39">
        <v>2460</v>
      </c>
      <c r="C31" s="40" t="s">
        <v>28</v>
      </c>
      <c r="D31" s="41" t="s">
        <v>165</v>
      </c>
      <c r="E31" s="16" t="s">
        <v>31</v>
      </c>
      <c r="F31" s="42" t="s">
        <v>434</v>
      </c>
      <c r="G31" s="43">
        <v>8</v>
      </c>
      <c r="H31" s="44">
        <v>20</v>
      </c>
      <c r="I31" s="44">
        <v>12</v>
      </c>
      <c r="J31" s="44">
        <v>2</v>
      </c>
      <c r="K31" s="30"/>
      <c r="L31" s="35" t="str">
        <f t="shared" si="0"/>
        <v/>
      </c>
      <c r="M31" s="36"/>
      <c r="N31" s="20" t="s">
        <v>48</v>
      </c>
      <c r="O31" s="20" t="s">
        <v>48</v>
      </c>
    </row>
    <row r="32" spans="1:15" ht="21.75" customHeight="1">
      <c r="A32" s="11">
        <v>23</v>
      </c>
      <c r="B32" s="12">
        <v>2461</v>
      </c>
      <c r="C32" s="14" t="s">
        <v>28</v>
      </c>
      <c r="D32" s="18" t="s">
        <v>172</v>
      </c>
      <c r="E32" s="11" t="s">
        <v>31</v>
      </c>
      <c r="F32" s="20" t="s">
        <v>434</v>
      </c>
      <c r="G32" s="23">
        <v>0</v>
      </c>
      <c r="H32" s="27">
        <v>2</v>
      </c>
      <c r="I32" s="27">
        <v>1</v>
      </c>
      <c r="J32" s="27">
        <v>0</v>
      </c>
      <c r="K32" s="30"/>
      <c r="L32" s="35" t="str">
        <f t="shared" si="0"/>
        <v/>
      </c>
      <c r="M32" s="36"/>
      <c r="N32" s="20" t="s">
        <v>48</v>
      </c>
      <c r="O32" s="20" t="s">
        <v>48</v>
      </c>
    </row>
    <row r="33" spans="1:15" ht="21.75" customHeight="1">
      <c r="A33" s="16">
        <v>24</v>
      </c>
      <c r="B33" s="39">
        <v>2059</v>
      </c>
      <c r="C33" s="40" t="s">
        <v>28</v>
      </c>
      <c r="D33" s="41" t="s">
        <v>181</v>
      </c>
      <c r="E33" s="16" t="s">
        <v>31</v>
      </c>
      <c r="F33" s="42" t="s">
        <v>434</v>
      </c>
      <c r="G33" s="43">
        <v>0</v>
      </c>
      <c r="H33" s="44">
        <v>0</v>
      </c>
      <c r="I33" s="44">
        <v>0</v>
      </c>
      <c r="J33" s="44">
        <v>0</v>
      </c>
      <c r="K33" s="30"/>
      <c r="L33" s="35" t="str">
        <f t="shared" si="0"/>
        <v/>
      </c>
      <c r="M33" s="36"/>
      <c r="N33" s="20" t="s">
        <v>48</v>
      </c>
      <c r="O33" s="20" t="s">
        <v>48</v>
      </c>
    </row>
    <row r="34" spans="1:15" ht="21.75" customHeight="1">
      <c r="A34" s="11">
        <v>25</v>
      </c>
      <c r="B34" s="12">
        <v>2051</v>
      </c>
      <c r="C34" s="14" t="s">
        <v>28</v>
      </c>
      <c r="D34" s="18" t="s">
        <v>185</v>
      </c>
      <c r="E34" s="11" t="s">
        <v>31</v>
      </c>
      <c r="F34" s="20" t="s">
        <v>434</v>
      </c>
      <c r="G34" s="23">
        <v>0</v>
      </c>
      <c r="H34" s="27">
        <v>0</v>
      </c>
      <c r="I34" s="27">
        <v>0</v>
      </c>
      <c r="J34" s="27">
        <v>0</v>
      </c>
      <c r="K34" s="30"/>
      <c r="L34" s="35" t="str">
        <f t="shared" si="0"/>
        <v/>
      </c>
      <c r="M34" s="36"/>
      <c r="N34" s="20" t="s">
        <v>48</v>
      </c>
      <c r="O34" s="20" t="s">
        <v>48</v>
      </c>
    </row>
    <row r="35" spans="1:15" ht="21.75" customHeight="1">
      <c r="A35" s="16">
        <v>26</v>
      </c>
      <c r="B35" s="39">
        <v>2613</v>
      </c>
      <c r="C35" s="40" t="s">
        <v>28</v>
      </c>
      <c r="D35" s="41" t="s">
        <v>190</v>
      </c>
      <c r="E35" s="16" t="s">
        <v>31</v>
      </c>
      <c r="F35" s="42" t="s">
        <v>434</v>
      </c>
      <c r="G35" s="43">
        <v>1990</v>
      </c>
      <c r="H35" s="44">
        <v>30</v>
      </c>
      <c r="I35" s="44">
        <v>10</v>
      </c>
      <c r="J35" s="44">
        <v>0</v>
      </c>
      <c r="K35" s="30"/>
      <c r="L35" s="35" t="str">
        <f t="shared" si="0"/>
        <v/>
      </c>
      <c r="M35" s="36"/>
      <c r="N35" s="20" t="s">
        <v>48</v>
      </c>
      <c r="O35" s="20" t="s">
        <v>48</v>
      </c>
    </row>
    <row r="36" spans="1:15" ht="21.75" customHeight="1">
      <c r="A36" s="11">
        <v>27</v>
      </c>
      <c r="B36" s="12">
        <v>2614</v>
      </c>
      <c r="C36" s="14" t="s">
        <v>28</v>
      </c>
      <c r="D36" s="18" t="s">
        <v>195</v>
      </c>
      <c r="E36" s="11" t="s">
        <v>31</v>
      </c>
      <c r="F36" s="20" t="s">
        <v>434</v>
      </c>
      <c r="G36" s="23">
        <v>490</v>
      </c>
      <c r="H36" s="27">
        <v>102</v>
      </c>
      <c r="I36" s="27">
        <v>10</v>
      </c>
      <c r="J36" s="27">
        <v>10</v>
      </c>
      <c r="K36" s="30"/>
      <c r="L36" s="35" t="str">
        <f t="shared" si="0"/>
        <v/>
      </c>
      <c r="M36" s="36"/>
      <c r="N36" s="20" t="s">
        <v>48</v>
      </c>
      <c r="O36" s="20" t="s">
        <v>48</v>
      </c>
    </row>
    <row r="37" spans="1:15" ht="21.75" customHeight="1">
      <c r="A37" s="16">
        <v>28</v>
      </c>
      <c r="B37" s="39">
        <v>2052</v>
      </c>
      <c r="C37" s="40" t="s">
        <v>28</v>
      </c>
      <c r="D37" s="41" t="s">
        <v>197</v>
      </c>
      <c r="E37" s="16" t="s">
        <v>31</v>
      </c>
      <c r="F37" s="42" t="s">
        <v>434</v>
      </c>
      <c r="G37" s="43">
        <v>0</v>
      </c>
      <c r="H37" s="44">
        <v>0</v>
      </c>
      <c r="I37" s="44">
        <v>0</v>
      </c>
      <c r="J37" s="44">
        <v>0</v>
      </c>
      <c r="K37" s="30"/>
      <c r="L37" s="35" t="str">
        <f t="shared" si="0"/>
        <v/>
      </c>
      <c r="M37" s="36"/>
      <c r="N37" s="20" t="s">
        <v>48</v>
      </c>
      <c r="O37" s="20" t="s">
        <v>48</v>
      </c>
    </row>
    <row r="38" spans="1:15" ht="21.75" customHeight="1">
      <c r="A38" s="11">
        <v>29</v>
      </c>
      <c r="B38" s="12">
        <v>2462</v>
      </c>
      <c r="C38" s="14" t="s">
        <v>28</v>
      </c>
      <c r="D38" s="18" t="s">
        <v>200</v>
      </c>
      <c r="E38" s="11" t="s">
        <v>31</v>
      </c>
      <c r="F38" s="20" t="s">
        <v>434</v>
      </c>
      <c r="G38" s="23">
        <v>0</v>
      </c>
      <c r="H38" s="27">
        <v>10</v>
      </c>
      <c r="I38" s="27">
        <v>5</v>
      </c>
      <c r="J38" s="27">
        <v>0</v>
      </c>
      <c r="K38" s="30"/>
      <c r="L38" s="35" t="str">
        <f t="shared" si="0"/>
        <v/>
      </c>
      <c r="M38" s="36"/>
      <c r="N38" s="20" t="s">
        <v>48</v>
      </c>
      <c r="O38" s="20" t="s">
        <v>48</v>
      </c>
    </row>
    <row r="39" spans="1:15" ht="21.75" customHeight="1">
      <c r="A39" s="16">
        <v>30</v>
      </c>
      <c r="B39" s="39">
        <v>2463</v>
      </c>
      <c r="C39" s="40" t="s">
        <v>28</v>
      </c>
      <c r="D39" s="41" t="s">
        <v>202</v>
      </c>
      <c r="E39" s="16" t="s">
        <v>31</v>
      </c>
      <c r="F39" s="42" t="s">
        <v>434</v>
      </c>
      <c r="G39" s="43">
        <v>0</v>
      </c>
      <c r="H39" s="44">
        <v>10</v>
      </c>
      <c r="I39" s="44">
        <v>5</v>
      </c>
      <c r="J39" s="44">
        <v>0</v>
      </c>
      <c r="K39" s="30"/>
      <c r="L39" s="35" t="str">
        <f t="shared" si="0"/>
        <v/>
      </c>
      <c r="M39" s="36"/>
      <c r="N39" s="20" t="s">
        <v>48</v>
      </c>
      <c r="O39" s="20" t="s">
        <v>48</v>
      </c>
    </row>
    <row r="40" spans="1:15" ht="21.75" customHeight="1">
      <c r="A40" s="11">
        <v>31</v>
      </c>
      <c r="B40" s="12">
        <v>2002</v>
      </c>
      <c r="C40" s="14" t="s">
        <v>28</v>
      </c>
      <c r="D40" s="18" t="s">
        <v>206</v>
      </c>
      <c r="E40" s="11" t="s">
        <v>31</v>
      </c>
      <c r="F40" s="20" t="s">
        <v>434</v>
      </c>
      <c r="G40" s="23">
        <v>0</v>
      </c>
      <c r="H40" s="27">
        <v>0</v>
      </c>
      <c r="I40" s="27">
        <v>0</v>
      </c>
      <c r="J40" s="27">
        <v>0</v>
      </c>
      <c r="K40" s="30"/>
      <c r="L40" s="35" t="str">
        <f t="shared" si="0"/>
        <v/>
      </c>
      <c r="M40" s="36"/>
      <c r="N40" s="20" t="s">
        <v>48</v>
      </c>
      <c r="O40" s="20" t="s">
        <v>48</v>
      </c>
    </row>
    <row r="41" spans="1:15" ht="21.75" customHeight="1">
      <c r="A41" s="16">
        <v>32</v>
      </c>
      <c r="B41" s="39">
        <v>2003</v>
      </c>
      <c r="C41" s="40" t="s">
        <v>28</v>
      </c>
      <c r="D41" s="41" t="s">
        <v>210</v>
      </c>
      <c r="E41" s="16" t="s">
        <v>31</v>
      </c>
      <c r="F41" s="42" t="s">
        <v>434</v>
      </c>
      <c r="G41" s="43">
        <v>0</v>
      </c>
      <c r="H41" s="44">
        <v>0</v>
      </c>
      <c r="I41" s="44">
        <v>0</v>
      </c>
      <c r="J41" s="44">
        <v>0</v>
      </c>
      <c r="K41" s="30"/>
      <c r="L41" s="35" t="str">
        <f t="shared" si="0"/>
        <v/>
      </c>
      <c r="M41" s="36"/>
      <c r="N41" s="20" t="s">
        <v>48</v>
      </c>
      <c r="O41" s="20" t="s">
        <v>48</v>
      </c>
    </row>
    <row r="42" spans="1:15" ht="21.75" customHeight="1">
      <c r="A42" s="11">
        <v>33</v>
      </c>
      <c r="B42" s="12">
        <v>2004</v>
      </c>
      <c r="C42" s="14" t="s">
        <v>28</v>
      </c>
      <c r="D42" s="18" t="s">
        <v>214</v>
      </c>
      <c r="E42" s="11" t="s">
        <v>31</v>
      </c>
      <c r="F42" s="20" t="s">
        <v>434</v>
      </c>
      <c r="G42" s="23">
        <v>0</v>
      </c>
      <c r="H42" s="27">
        <v>0</v>
      </c>
      <c r="I42" s="27">
        <v>0</v>
      </c>
      <c r="J42" s="27">
        <v>0</v>
      </c>
      <c r="K42" s="30"/>
      <c r="L42" s="35" t="str">
        <f t="shared" si="0"/>
        <v/>
      </c>
      <c r="M42" s="36"/>
      <c r="N42" s="20" t="s">
        <v>48</v>
      </c>
      <c r="O42" s="20" t="s">
        <v>48</v>
      </c>
    </row>
    <row r="43" spans="1:15" ht="21.75" customHeight="1">
      <c r="A43" s="16">
        <v>34</v>
      </c>
      <c r="B43" s="39">
        <v>2464</v>
      </c>
      <c r="C43" s="40" t="s">
        <v>28</v>
      </c>
      <c r="D43" s="41" t="s">
        <v>217</v>
      </c>
      <c r="E43" s="16" t="s">
        <v>31</v>
      </c>
      <c r="F43" s="42" t="s">
        <v>434</v>
      </c>
      <c r="G43" s="43">
        <v>50</v>
      </c>
      <c r="H43" s="44">
        <v>91</v>
      </c>
      <c r="I43" s="44">
        <v>50</v>
      </c>
      <c r="J43" s="44">
        <v>0</v>
      </c>
      <c r="K43" s="30"/>
      <c r="L43" s="35" t="str">
        <f t="shared" si="0"/>
        <v/>
      </c>
      <c r="M43" s="36"/>
      <c r="N43" s="20" t="s">
        <v>48</v>
      </c>
      <c r="O43" s="20" t="s">
        <v>48</v>
      </c>
    </row>
    <row r="44" spans="1:15" ht="21.75" customHeight="1">
      <c r="A44" s="11">
        <v>35</v>
      </c>
      <c r="B44" s="12">
        <v>2465</v>
      </c>
      <c r="C44" s="14" t="s">
        <v>28</v>
      </c>
      <c r="D44" s="18" t="s">
        <v>221</v>
      </c>
      <c r="E44" s="11" t="s">
        <v>31</v>
      </c>
      <c r="F44" s="20" t="s">
        <v>434</v>
      </c>
      <c r="G44" s="23">
        <v>3</v>
      </c>
      <c r="H44" s="27">
        <v>5</v>
      </c>
      <c r="I44" s="27">
        <v>2</v>
      </c>
      <c r="J44" s="27">
        <v>1</v>
      </c>
      <c r="K44" s="30"/>
      <c r="L44" s="35" t="str">
        <f t="shared" si="0"/>
        <v/>
      </c>
      <c r="M44" s="36"/>
      <c r="N44" s="20" t="s">
        <v>48</v>
      </c>
      <c r="O44" s="20" t="s">
        <v>48</v>
      </c>
    </row>
    <row r="45" spans="1:15" ht="21.75" customHeight="1">
      <c r="A45" s="16">
        <v>36</v>
      </c>
      <c r="B45" s="39">
        <v>2005</v>
      </c>
      <c r="C45" s="40" t="s">
        <v>28</v>
      </c>
      <c r="D45" s="41" t="s">
        <v>223</v>
      </c>
      <c r="E45" s="16" t="s">
        <v>31</v>
      </c>
      <c r="F45" s="42" t="s">
        <v>434</v>
      </c>
      <c r="G45" s="43">
        <v>0</v>
      </c>
      <c r="H45" s="44">
        <v>0</v>
      </c>
      <c r="I45" s="44">
        <v>0</v>
      </c>
      <c r="J45" s="44">
        <v>0</v>
      </c>
      <c r="K45" s="30"/>
      <c r="L45" s="35" t="str">
        <f t="shared" si="0"/>
        <v/>
      </c>
      <c r="M45" s="36"/>
      <c r="N45" s="20" t="s">
        <v>48</v>
      </c>
      <c r="O45" s="20" t="s">
        <v>48</v>
      </c>
    </row>
    <row r="46" spans="1:15" ht="21.75" customHeight="1">
      <c r="A46" s="11">
        <v>37</v>
      </c>
      <c r="B46" s="12">
        <v>2044</v>
      </c>
      <c r="C46" s="14" t="s">
        <v>226</v>
      </c>
      <c r="D46" s="18" t="s">
        <v>227</v>
      </c>
      <c r="E46" s="11" t="s">
        <v>31</v>
      </c>
      <c r="F46" s="20" t="s">
        <v>434</v>
      </c>
      <c r="G46" s="23">
        <v>0</v>
      </c>
      <c r="H46" s="27">
        <v>0</v>
      </c>
      <c r="I46" s="27">
        <v>0</v>
      </c>
      <c r="J46" s="27">
        <v>0</v>
      </c>
      <c r="K46" s="30"/>
      <c r="L46" s="35" t="str">
        <f t="shared" si="0"/>
        <v/>
      </c>
      <c r="M46" s="36"/>
      <c r="N46" s="20" t="s">
        <v>48</v>
      </c>
      <c r="O46" s="20" t="s">
        <v>48</v>
      </c>
    </row>
    <row r="47" spans="1:15" ht="21.75" customHeight="1">
      <c r="A47" s="16">
        <v>38</v>
      </c>
      <c r="B47" s="39">
        <v>2466</v>
      </c>
      <c r="C47" s="40" t="s">
        <v>226</v>
      </c>
      <c r="D47" s="41" t="s">
        <v>232</v>
      </c>
      <c r="E47" s="16" t="s">
        <v>31</v>
      </c>
      <c r="F47" s="42" t="s">
        <v>434</v>
      </c>
      <c r="G47" s="43">
        <v>0</v>
      </c>
      <c r="H47" s="44">
        <v>100</v>
      </c>
      <c r="I47" s="44">
        <v>0</v>
      </c>
      <c r="J47" s="44">
        <v>0</v>
      </c>
      <c r="K47" s="30"/>
      <c r="L47" s="35" t="str">
        <f t="shared" si="0"/>
        <v/>
      </c>
      <c r="M47" s="36"/>
      <c r="N47" s="20" t="s">
        <v>48</v>
      </c>
      <c r="O47" s="20" t="s">
        <v>48</v>
      </c>
    </row>
    <row r="48" spans="1:15" ht="21.75" customHeight="1">
      <c r="A48" s="11">
        <v>39</v>
      </c>
      <c r="B48" s="12">
        <v>2049</v>
      </c>
      <c r="C48" s="14" t="s">
        <v>236</v>
      </c>
      <c r="D48" s="18" t="s">
        <v>237</v>
      </c>
      <c r="E48" s="11" t="s">
        <v>31</v>
      </c>
      <c r="F48" s="20" t="s">
        <v>434</v>
      </c>
      <c r="G48" s="23">
        <v>0</v>
      </c>
      <c r="H48" s="27">
        <v>0</v>
      </c>
      <c r="I48" s="27">
        <v>0</v>
      </c>
      <c r="J48" s="27">
        <v>0</v>
      </c>
      <c r="K48" s="30"/>
      <c r="L48" s="35" t="str">
        <f t="shared" si="0"/>
        <v/>
      </c>
      <c r="M48" s="36"/>
      <c r="N48" s="20" t="s">
        <v>48</v>
      </c>
      <c r="O48" s="20" t="s">
        <v>48</v>
      </c>
    </row>
    <row r="49" spans="1:15" ht="21.75" customHeight="1">
      <c r="A49" s="16">
        <v>40</v>
      </c>
      <c r="B49" s="39">
        <v>2467</v>
      </c>
      <c r="C49" s="40" t="s">
        <v>241</v>
      </c>
      <c r="D49" s="41" t="s">
        <v>157</v>
      </c>
      <c r="E49" s="16" t="s">
        <v>31</v>
      </c>
      <c r="F49" s="42" t="s">
        <v>434</v>
      </c>
      <c r="G49" s="43">
        <v>20</v>
      </c>
      <c r="H49" s="44">
        <v>152</v>
      </c>
      <c r="I49" s="44">
        <v>80</v>
      </c>
      <c r="J49" s="44">
        <v>0</v>
      </c>
      <c r="K49" s="30"/>
      <c r="L49" s="35" t="str">
        <f t="shared" si="0"/>
        <v/>
      </c>
      <c r="M49" s="36"/>
      <c r="N49" s="20" t="s">
        <v>48</v>
      </c>
      <c r="O49" s="20" t="s">
        <v>48</v>
      </c>
    </row>
    <row r="50" spans="1:15" ht="21.75" customHeight="1">
      <c r="A50" s="11">
        <v>41</v>
      </c>
      <c r="B50" s="12">
        <v>2375</v>
      </c>
      <c r="C50" s="14" t="s">
        <v>241</v>
      </c>
      <c r="D50" s="18" t="s">
        <v>244</v>
      </c>
      <c r="E50" s="11" t="s">
        <v>31</v>
      </c>
      <c r="F50" s="20" t="s">
        <v>434</v>
      </c>
      <c r="G50" s="23">
        <v>0</v>
      </c>
      <c r="H50" s="27">
        <v>0</v>
      </c>
      <c r="I50" s="27">
        <v>0</v>
      </c>
      <c r="J50" s="27">
        <v>0</v>
      </c>
      <c r="K50" s="30"/>
      <c r="L50" s="35" t="str">
        <f t="shared" si="0"/>
        <v/>
      </c>
      <c r="M50" s="36"/>
      <c r="N50" s="20" t="s">
        <v>48</v>
      </c>
      <c r="O50" s="20" t="s">
        <v>48</v>
      </c>
    </row>
    <row r="51" spans="1:15" ht="21.75" customHeight="1">
      <c r="A51" s="16">
        <v>42</v>
      </c>
      <c r="B51" s="39">
        <v>2048</v>
      </c>
      <c r="C51" s="40" t="s">
        <v>241</v>
      </c>
      <c r="D51" s="41" t="s">
        <v>248</v>
      </c>
      <c r="E51" s="16" t="s">
        <v>31</v>
      </c>
      <c r="F51" s="42" t="s">
        <v>434</v>
      </c>
      <c r="G51" s="43">
        <v>0</v>
      </c>
      <c r="H51" s="44">
        <v>0</v>
      </c>
      <c r="I51" s="44">
        <v>0</v>
      </c>
      <c r="J51" s="44">
        <v>0</v>
      </c>
      <c r="K51" s="30"/>
      <c r="L51" s="35" t="str">
        <f t="shared" si="0"/>
        <v/>
      </c>
      <c r="M51" s="36"/>
      <c r="N51" s="20" t="s">
        <v>48</v>
      </c>
      <c r="O51" s="20" t="s">
        <v>48</v>
      </c>
    </row>
    <row r="52" spans="1:15" ht="21.75" customHeight="1">
      <c r="A52" s="11">
        <v>43</v>
      </c>
      <c r="B52" s="12">
        <v>2468</v>
      </c>
      <c r="C52" s="14" t="s">
        <v>241</v>
      </c>
      <c r="D52" s="18" t="s">
        <v>206</v>
      </c>
      <c r="E52" s="11" t="s">
        <v>31</v>
      </c>
      <c r="F52" s="20" t="s">
        <v>434</v>
      </c>
      <c r="G52" s="23">
        <v>20</v>
      </c>
      <c r="H52" s="27">
        <v>303</v>
      </c>
      <c r="I52" s="27">
        <v>80</v>
      </c>
      <c r="J52" s="27">
        <v>0</v>
      </c>
      <c r="K52" s="30"/>
      <c r="L52" s="35" t="str">
        <f t="shared" si="0"/>
        <v/>
      </c>
      <c r="M52" s="36"/>
      <c r="N52" s="20" t="s">
        <v>48</v>
      </c>
      <c r="O52" s="20" t="s">
        <v>48</v>
      </c>
    </row>
    <row r="53" spans="1:15" ht="21.75" customHeight="1">
      <c r="A53" s="16">
        <v>44</v>
      </c>
      <c r="B53" s="39">
        <v>2050</v>
      </c>
      <c r="C53" s="40" t="s">
        <v>241</v>
      </c>
      <c r="D53" s="41" t="s">
        <v>255</v>
      </c>
      <c r="E53" s="16" t="s">
        <v>31</v>
      </c>
      <c r="F53" s="42" t="s">
        <v>434</v>
      </c>
      <c r="G53" s="43">
        <v>0</v>
      </c>
      <c r="H53" s="44">
        <v>0</v>
      </c>
      <c r="I53" s="44">
        <v>0</v>
      </c>
      <c r="J53" s="44">
        <v>0</v>
      </c>
      <c r="K53" s="30"/>
      <c r="L53" s="35" t="str">
        <f t="shared" si="0"/>
        <v/>
      </c>
      <c r="M53" s="36"/>
      <c r="N53" s="20" t="s">
        <v>48</v>
      </c>
      <c r="O53" s="20" t="s">
        <v>48</v>
      </c>
    </row>
    <row r="54" spans="1:15" ht="21.75" customHeight="1">
      <c r="A54" s="11">
        <v>45</v>
      </c>
      <c r="B54" s="12">
        <v>2615</v>
      </c>
      <c r="C54" s="14" t="s">
        <v>241</v>
      </c>
      <c r="D54" s="18" t="s">
        <v>260</v>
      </c>
      <c r="E54" s="11" t="s">
        <v>31</v>
      </c>
      <c r="F54" s="20" t="s">
        <v>434</v>
      </c>
      <c r="G54" s="23">
        <v>2</v>
      </c>
      <c r="H54" s="27">
        <v>3</v>
      </c>
      <c r="I54" s="27">
        <v>1</v>
      </c>
      <c r="J54" s="27">
        <v>0</v>
      </c>
      <c r="K54" s="30"/>
      <c r="L54" s="35" t="str">
        <f t="shared" si="0"/>
        <v/>
      </c>
      <c r="M54" s="36"/>
      <c r="N54" s="20" t="s">
        <v>48</v>
      </c>
      <c r="O54" s="20" t="s">
        <v>48</v>
      </c>
    </row>
    <row r="55" spans="1:15" ht="21.75" customHeight="1">
      <c r="A55" s="16">
        <v>46</v>
      </c>
      <c r="B55" s="39">
        <v>2045</v>
      </c>
      <c r="C55" s="40" t="s">
        <v>263</v>
      </c>
      <c r="D55" s="41" t="s">
        <v>264</v>
      </c>
      <c r="E55" s="16" t="s">
        <v>31</v>
      </c>
      <c r="F55" s="42" t="s">
        <v>434</v>
      </c>
      <c r="G55" s="43">
        <v>0</v>
      </c>
      <c r="H55" s="44">
        <v>0</v>
      </c>
      <c r="I55" s="44">
        <v>0</v>
      </c>
      <c r="J55" s="44">
        <v>0</v>
      </c>
      <c r="K55" s="30"/>
      <c r="L55" s="35" t="str">
        <f t="shared" si="0"/>
        <v/>
      </c>
      <c r="M55" s="36"/>
      <c r="N55" s="20" t="s">
        <v>48</v>
      </c>
      <c r="O55" s="20" t="s">
        <v>48</v>
      </c>
    </row>
    <row r="56" spans="1:15" ht="21.75" customHeight="1">
      <c r="A56" s="11">
        <v>47</v>
      </c>
      <c r="B56" s="12">
        <v>2046</v>
      </c>
      <c r="C56" s="14" t="s">
        <v>263</v>
      </c>
      <c r="D56" s="18" t="s">
        <v>269</v>
      </c>
      <c r="E56" s="11" t="s">
        <v>31</v>
      </c>
      <c r="F56" s="20" t="s">
        <v>434</v>
      </c>
      <c r="G56" s="23">
        <v>0</v>
      </c>
      <c r="H56" s="27">
        <v>0</v>
      </c>
      <c r="I56" s="27">
        <v>0</v>
      </c>
      <c r="J56" s="27">
        <v>0</v>
      </c>
      <c r="K56" s="30"/>
      <c r="L56" s="35" t="str">
        <f t="shared" si="0"/>
        <v/>
      </c>
      <c r="M56" s="36"/>
      <c r="N56" s="20" t="s">
        <v>48</v>
      </c>
      <c r="O56" s="20" t="s">
        <v>48</v>
      </c>
    </row>
    <row r="57" spans="1:15" ht="21.75" customHeight="1">
      <c r="A57" s="16">
        <v>48</v>
      </c>
      <c r="B57" s="39">
        <v>2469</v>
      </c>
      <c r="C57" s="40" t="s">
        <v>263</v>
      </c>
      <c r="D57" s="41" t="s">
        <v>272</v>
      </c>
      <c r="E57" s="16" t="s">
        <v>31</v>
      </c>
      <c r="F57" s="42" t="s">
        <v>434</v>
      </c>
      <c r="G57" s="43">
        <v>50</v>
      </c>
      <c r="H57" s="44">
        <v>10</v>
      </c>
      <c r="I57" s="44">
        <v>0</v>
      </c>
      <c r="J57" s="44">
        <v>10</v>
      </c>
      <c r="K57" s="30"/>
      <c r="L57" s="35" t="str">
        <f t="shared" si="0"/>
        <v/>
      </c>
      <c r="M57" s="36"/>
      <c r="N57" s="20" t="s">
        <v>48</v>
      </c>
      <c r="O57" s="20" t="s">
        <v>48</v>
      </c>
    </row>
    <row r="58" spans="1:15" ht="21.75" customHeight="1">
      <c r="A58" s="11">
        <v>49</v>
      </c>
      <c r="B58" s="12">
        <v>2377</v>
      </c>
      <c r="C58" s="14" t="s">
        <v>263</v>
      </c>
      <c r="D58" s="18" t="s">
        <v>277</v>
      </c>
      <c r="E58" s="11" t="s">
        <v>31</v>
      </c>
      <c r="F58" s="20" t="s">
        <v>434</v>
      </c>
      <c r="G58" s="23">
        <v>0</v>
      </c>
      <c r="H58" s="27">
        <v>0</v>
      </c>
      <c r="I58" s="27">
        <v>0</v>
      </c>
      <c r="J58" s="27">
        <v>0</v>
      </c>
      <c r="K58" s="30"/>
      <c r="L58" s="35" t="str">
        <f t="shared" si="0"/>
        <v/>
      </c>
      <c r="M58" s="36"/>
      <c r="N58" s="20" t="s">
        <v>48</v>
      </c>
      <c r="O58" s="20" t="s">
        <v>48</v>
      </c>
    </row>
    <row r="59" spans="1:15" ht="21.75" customHeight="1">
      <c r="A59" s="16">
        <v>50</v>
      </c>
      <c r="B59" s="39">
        <v>2524</v>
      </c>
      <c r="C59" s="40" t="s">
        <v>263</v>
      </c>
      <c r="D59" s="41" t="s">
        <v>281</v>
      </c>
      <c r="E59" s="16" t="s">
        <v>31</v>
      </c>
      <c r="F59" s="42" t="s">
        <v>434</v>
      </c>
      <c r="G59" s="43">
        <v>40</v>
      </c>
      <c r="H59" s="44">
        <v>0</v>
      </c>
      <c r="I59" s="44">
        <v>0</v>
      </c>
      <c r="J59" s="44">
        <v>0</v>
      </c>
      <c r="K59" s="30"/>
      <c r="L59" s="35" t="str">
        <f t="shared" si="0"/>
        <v/>
      </c>
      <c r="M59" s="36"/>
      <c r="N59" s="20" t="s">
        <v>48</v>
      </c>
      <c r="O59" s="20" t="s">
        <v>48</v>
      </c>
    </row>
    <row r="60" spans="1:15" ht="21.75" customHeight="1">
      <c r="A60" s="11">
        <v>51</v>
      </c>
      <c r="B60" s="12">
        <v>2056</v>
      </c>
      <c r="C60" s="14" t="s">
        <v>263</v>
      </c>
      <c r="D60" s="18" t="s">
        <v>285</v>
      </c>
      <c r="E60" s="11" t="s">
        <v>31</v>
      </c>
      <c r="F60" s="20" t="s">
        <v>434</v>
      </c>
      <c r="G60" s="23">
        <v>0</v>
      </c>
      <c r="H60" s="27">
        <v>0</v>
      </c>
      <c r="I60" s="27">
        <v>0</v>
      </c>
      <c r="J60" s="27">
        <v>0</v>
      </c>
      <c r="K60" s="30"/>
      <c r="L60" s="35" t="str">
        <f t="shared" si="0"/>
        <v/>
      </c>
      <c r="M60" s="36"/>
      <c r="N60" s="20" t="s">
        <v>48</v>
      </c>
      <c r="O60" s="20" t="s">
        <v>48</v>
      </c>
    </row>
    <row r="61" spans="1:15" ht="21.75" customHeight="1">
      <c r="A61" s="16">
        <v>52</v>
      </c>
      <c r="B61" s="39">
        <v>2479</v>
      </c>
      <c r="C61" s="40" t="s">
        <v>263</v>
      </c>
      <c r="D61" s="41" t="s">
        <v>288</v>
      </c>
      <c r="E61" s="16" t="s">
        <v>31</v>
      </c>
      <c r="F61" s="42" t="s">
        <v>434</v>
      </c>
      <c r="G61" s="43">
        <v>6</v>
      </c>
      <c r="H61" s="44">
        <v>24</v>
      </c>
      <c r="I61" s="44">
        <v>18</v>
      </c>
      <c r="J61" s="44">
        <v>2</v>
      </c>
      <c r="K61" s="30"/>
      <c r="L61" s="35" t="str">
        <f t="shared" si="0"/>
        <v/>
      </c>
      <c r="M61" s="36"/>
      <c r="N61" s="20" t="s">
        <v>48</v>
      </c>
      <c r="O61" s="20" t="s">
        <v>48</v>
      </c>
    </row>
    <row r="62" spans="1:15" ht="21.75" customHeight="1">
      <c r="A62" s="11">
        <v>53</v>
      </c>
      <c r="B62" s="12">
        <v>2483</v>
      </c>
      <c r="C62" s="14" t="s">
        <v>263</v>
      </c>
      <c r="D62" s="18" t="s">
        <v>293</v>
      </c>
      <c r="E62" s="11" t="s">
        <v>31</v>
      </c>
      <c r="F62" s="20" t="s">
        <v>434</v>
      </c>
      <c r="G62" s="23">
        <v>50</v>
      </c>
      <c r="H62" s="27">
        <v>50</v>
      </c>
      <c r="I62" s="27">
        <v>0</v>
      </c>
      <c r="J62" s="27">
        <v>0</v>
      </c>
      <c r="K62" s="30"/>
      <c r="L62" s="35" t="str">
        <f t="shared" si="0"/>
        <v/>
      </c>
      <c r="M62" s="36"/>
      <c r="N62" s="20" t="s">
        <v>48</v>
      </c>
      <c r="O62" s="20" t="s">
        <v>48</v>
      </c>
    </row>
    <row r="63" spans="1:15" ht="21.75" customHeight="1">
      <c r="A63" s="16">
        <v>54</v>
      </c>
      <c r="B63" s="39">
        <v>2484</v>
      </c>
      <c r="C63" s="40" t="s">
        <v>263</v>
      </c>
      <c r="D63" s="41" t="s">
        <v>300</v>
      </c>
      <c r="E63" s="16" t="s">
        <v>31</v>
      </c>
      <c r="F63" s="42" t="s">
        <v>434</v>
      </c>
      <c r="G63" s="43">
        <v>197</v>
      </c>
      <c r="H63" s="44">
        <v>454</v>
      </c>
      <c r="I63" s="44">
        <v>203</v>
      </c>
      <c r="J63" s="44">
        <v>20</v>
      </c>
      <c r="K63" s="30"/>
      <c r="L63" s="35" t="str">
        <f t="shared" si="0"/>
        <v/>
      </c>
      <c r="M63" s="36"/>
      <c r="N63" s="20" t="s">
        <v>48</v>
      </c>
      <c r="O63" s="20" t="s">
        <v>48</v>
      </c>
    </row>
    <row r="64" spans="1:15" ht="21.75" customHeight="1">
      <c r="A64" s="11">
        <v>55</v>
      </c>
      <c r="B64" s="12">
        <v>2485</v>
      </c>
      <c r="C64" s="14" t="s">
        <v>263</v>
      </c>
      <c r="D64" s="18" t="s">
        <v>304</v>
      </c>
      <c r="E64" s="11" t="s">
        <v>31</v>
      </c>
      <c r="F64" s="20" t="s">
        <v>434</v>
      </c>
      <c r="G64" s="23">
        <v>14</v>
      </c>
      <c r="H64" s="27">
        <v>70</v>
      </c>
      <c r="I64" s="27">
        <v>6</v>
      </c>
      <c r="J64" s="27">
        <v>0</v>
      </c>
      <c r="K64" s="30"/>
      <c r="L64" s="35" t="str">
        <f t="shared" si="0"/>
        <v/>
      </c>
      <c r="M64" s="36"/>
      <c r="N64" s="20" t="s">
        <v>48</v>
      </c>
      <c r="O64" s="20" t="s">
        <v>48</v>
      </c>
    </row>
    <row r="65" spans="1:15" ht="21.75" customHeight="1">
      <c r="A65" s="16">
        <v>56</v>
      </c>
      <c r="B65" s="39">
        <v>2616</v>
      </c>
      <c r="C65" s="40" t="s">
        <v>263</v>
      </c>
      <c r="D65" s="41" t="s">
        <v>309</v>
      </c>
      <c r="E65" s="16" t="s">
        <v>31</v>
      </c>
      <c r="F65" s="42" t="s">
        <v>434</v>
      </c>
      <c r="G65" s="43">
        <v>0</v>
      </c>
      <c r="H65" s="44">
        <v>0</v>
      </c>
      <c r="I65" s="44">
        <v>0</v>
      </c>
      <c r="J65" s="44">
        <v>0</v>
      </c>
      <c r="K65" s="30"/>
      <c r="L65" s="35" t="str">
        <f t="shared" si="0"/>
        <v/>
      </c>
      <c r="M65" s="36"/>
      <c r="N65" s="20" t="s">
        <v>48</v>
      </c>
      <c r="O65" s="20" t="s">
        <v>48</v>
      </c>
    </row>
    <row r="66" spans="1:15" ht="21.75" customHeight="1">
      <c r="A66" s="11">
        <v>57</v>
      </c>
      <c r="B66" s="12">
        <v>2010</v>
      </c>
      <c r="C66" s="14" t="s">
        <v>263</v>
      </c>
      <c r="D66" s="18" t="s">
        <v>313</v>
      </c>
      <c r="E66" s="11" t="s">
        <v>31</v>
      </c>
      <c r="F66" s="20" t="s">
        <v>434</v>
      </c>
      <c r="G66" s="23">
        <v>0</v>
      </c>
      <c r="H66" s="27">
        <v>0</v>
      </c>
      <c r="I66" s="27">
        <v>0</v>
      </c>
      <c r="J66" s="27">
        <v>0</v>
      </c>
      <c r="K66" s="30"/>
      <c r="L66" s="35" t="str">
        <f t="shared" si="0"/>
        <v/>
      </c>
      <c r="M66" s="36"/>
      <c r="N66" s="20" t="s">
        <v>48</v>
      </c>
      <c r="O66" s="20" t="s">
        <v>48</v>
      </c>
    </row>
    <row r="67" spans="1:15" ht="21.75" customHeight="1">
      <c r="A67" s="16">
        <v>58</v>
      </c>
      <c r="B67" s="39">
        <v>2480</v>
      </c>
      <c r="C67" s="40" t="s">
        <v>263</v>
      </c>
      <c r="D67" s="41" t="s">
        <v>315</v>
      </c>
      <c r="E67" s="16" t="s">
        <v>31</v>
      </c>
      <c r="F67" s="42" t="s">
        <v>434</v>
      </c>
      <c r="G67" s="43">
        <v>30</v>
      </c>
      <c r="H67" s="44">
        <v>101</v>
      </c>
      <c r="I67" s="44">
        <v>70</v>
      </c>
      <c r="J67" s="44">
        <v>0</v>
      </c>
      <c r="K67" s="30"/>
      <c r="L67" s="35" t="str">
        <f t="shared" si="0"/>
        <v/>
      </c>
      <c r="M67" s="36"/>
      <c r="N67" s="20" t="s">
        <v>48</v>
      </c>
      <c r="O67" s="20" t="s">
        <v>48</v>
      </c>
    </row>
    <row r="68" spans="1:15" ht="21.75" customHeight="1">
      <c r="A68" s="11">
        <v>59</v>
      </c>
      <c r="B68" s="12">
        <v>2481</v>
      </c>
      <c r="C68" s="14" t="s">
        <v>263</v>
      </c>
      <c r="D68" s="18" t="s">
        <v>320</v>
      </c>
      <c r="E68" s="11" t="s">
        <v>31</v>
      </c>
      <c r="F68" s="20" t="s">
        <v>434</v>
      </c>
      <c r="G68" s="23">
        <v>0</v>
      </c>
      <c r="H68" s="27">
        <v>15</v>
      </c>
      <c r="I68" s="27">
        <v>15</v>
      </c>
      <c r="J68" s="27">
        <v>0</v>
      </c>
      <c r="K68" s="30"/>
      <c r="L68" s="35" t="str">
        <f t="shared" si="0"/>
        <v/>
      </c>
      <c r="M68" s="36"/>
      <c r="N68" s="20" t="s">
        <v>48</v>
      </c>
      <c r="O68" s="20" t="s">
        <v>48</v>
      </c>
    </row>
    <row r="69" spans="1:15" ht="21.75" customHeight="1">
      <c r="A69" s="16">
        <v>60</v>
      </c>
      <c r="B69" s="39">
        <v>2482</v>
      </c>
      <c r="C69" s="40" t="s">
        <v>324</v>
      </c>
      <c r="D69" s="41" t="s">
        <v>325</v>
      </c>
      <c r="E69" s="16" t="s">
        <v>31</v>
      </c>
      <c r="F69" s="42" t="s">
        <v>434</v>
      </c>
      <c r="G69" s="43">
        <v>0</v>
      </c>
      <c r="H69" s="44">
        <v>15</v>
      </c>
      <c r="I69" s="44">
        <v>15</v>
      </c>
      <c r="J69" s="44">
        <v>0</v>
      </c>
      <c r="K69" s="30"/>
      <c r="L69" s="35" t="str">
        <f t="shared" si="0"/>
        <v/>
      </c>
      <c r="M69" s="36"/>
      <c r="N69" s="20" t="s">
        <v>48</v>
      </c>
      <c r="O69" s="20" t="s">
        <v>48</v>
      </c>
    </row>
    <row r="70" spans="1:15" ht="21.75" customHeight="1">
      <c r="A70" s="11">
        <v>61</v>
      </c>
      <c r="B70" s="12">
        <v>2006</v>
      </c>
      <c r="C70" s="14" t="s">
        <v>324</v>
      </c>
      <c r="D70" s="18" t="s">
        <v>331</v>
      </c>
      <c r="E70" s="11" t="s">
        <v>31</v>
      </c>
      <c r="F70" s="20" t="s">
        <v>434</v>
      </c>
      <c r="G70" s="23">
        <v>0</v>
      </c>
      <c r="H70" s="27">
        <v>0</v>
      </c>
      <c r="I70" s="27">
        <v>0</v>
      </c>
      <c r="J70" s="27">
        <v>0</v>
      </c>
      <c r="K70" s="30"/>
      <c r="L70" s="35" t="str">
        <f t="shared" si="0"/>
        <v/>
      </c>
      <c r="M70" s="36"/>
      <c r="N70" s="20" t="s">
        <v>48</v>
      </c>
      <c r="O70" s="20" t="s">
        <v>48</v>
      </c>
    </row>
    <row r="71" spans="1:15" ht="21.75" customHeight="1">
      <c r="A71" s="16">
        <v>62</v>
      </c>
      <c r="B71" s="39">
        <v>2007</v>
      </c>
      <c r="C71" s="40" t="s">
        <v>324</v>
      </c>
      <c r="D71" s="41" t="s">
        <v>340</v>
      </c>
      <c r="E71" s="16" t="s">
        <v>31</v>
      </c>
      <c r="F71" s="42" t="s">
        <v>434</v>
      </c>
      <c r="G71" s="43">
        <v>0</v>
      </c>
      <c r="H71" s="44">
        <v>0</v>
      </c>
      <c r="I71" s="44">
        <v>0</v>
      </c>
      <c r="J71" s="44">
        <v>0</v>
      </c>
      <c r="K71" s="30"/>
      <c r="L71" s="35" t="str">
        <f t="shared" si="0"/>
        <v/>
      </c>
      <c r="M71" s="36"/>
      <c r="N71" s="20" t="s">
        <v>48</v>
      </c>
      <c r="O71" s="20" t="s">
        <v>48</v>
      </c>
    </row>
    <row r="72" spans="1:15" ht="21.75" customHeight="1">
      <c r="A72" s="11">
        <v>63</v>
      </c>
      <c r="B72" s="12">
        <v>2008</v>
      </c>
      <c r="C72" s="14" t="s">
        <v>324</v>
      </c>
      <c r="D72" s="18" t="s">
        <v>347</v>
      </c>
      <c r="E72" s="11" t="s">
        <v>31</v>
      </c>
      <c r="F72" s="20" t="s">
        <v>434</v>
      </c>
      <c r="G72" s="23">
        <v>0</v>
      </c>
      <c r="H72" s="27">
        <v>0</v>
      </c>
      <c r="I72" s="27">
        <v>0</v>
      </c>
      <c r="J72" s="27">
        <v>0</v>
      </c>
      <c r="K72" s="30"/>
      <c r="L72" s="35" t="str">
        <f t="shared" si="0"/>
        <v/>
      </c>
      <c r="M72" s="36"/>
      <c r="N72" s="20" t="s">
        <v>48</v>
      </c>
      <c r="O72" s="20" t="s">
        <v>48</v>
      </c>
    </row>
    <row r="73" spans="1:15" ht="21.75" customHeight="1">
      <c r="A73" s="16">
        <v>64</v>
      </c>
      <c r="B73" s="39">
        <v>2009</v>
      </c>
      <c r="C73" s="40" t="s">
        <v>324</v>
      </c>
      <c r="D73" s="41" t="s">
        <v>351</v>
      </c>
      <c r="E73" s="16" t="s">
        <v>31</v>
      </c>
      <c r="F73" s="42" t="s">
        <v>434</v>
      </c>
      <c r="G73" s="43">
        <v>0</v>
      </c>
      <c r="H73" s="44">
        <v>0</v>
      </c>
      <c r="I73" s="44">
        <v>0</v>
      </c>
      <c r="J73" s="44">
        <v>0</v>
      </c>
      <c r="K73" s="30"/>
      <c r="L73" s="35" t="str">
        <f t="shared" si="0"/>
        <v/>
      </c>
      <c r="M73" s="36"/>
      <c r="N73" s="20" t="s">
        <v>48</v>
      </c>
      <c r="O73" s="20" t="s">
        <v>48</v>
      </c>
    </row>
    <row r="74" spans="1:15" ht="21.75" customHeight="1">
      <c r="A74" s="11">
        <v>65</v>
      </c>
      <c r="B74" s="12">
        <v>2486</v>
      </c>
      <c r="C74" s="14" t="s">
        <v>324</v>
      </c>
      <c r="D74" s="18" t="s">
        <v>354</v>
      </c>
      <c r="E74" s="11" t="s">
        <v>31</v>
      </c>
      <c r="F74" s="20" t="s">
        <v>434</v>
      </c>
      <c r="G74" s="23">
        <v>0</v>
      </c>
      <c r="H74" s="27">
        <v>7</v>
      </c>
      <c r="I74" s="27">
        <v>7</v>
      </c>
      <c r="J74" s="27">
        <v>0</v>
      </c>
      <c r="K74" s="30"/>
      <c r="L74" s="35" t="str">
        <f t="shared" si="0"/>
        <v/>
      </c>
      <c r="M74" s="36"/>
      <c r="N74" s="20" t="s">
        <v>48</v>
      </c>
      <c r="O74" s="20" t="s">
        <v>48</v>
      </c>
    </row>
    <row r="75" spans="1:15" ht="21.75" customHeight="1">
      <c r="A75" s="16">
        <v>66</v>
      </c>
      <c r="B75" s="39">
        <v>2058</v>
      </c>
      <c r="C75" s="40" t="s">
        <v>361</v>
      </c>
      <c r="D75" s="41" t="s">
        <v>362</v>
      </c>
      <c r="E75" s="16" t="s">
        <v>31</v>
      </c>
      <c r="F75" s="42" t="s">
        <v>434</v>
      </c>
      <c r="G75" s="43">
        <v>0</v>
      </c>
      <c r="H75" s="44">
        <v>0</v>
      </c>
      <c r="I75" s="44">
        <v>0</v>
      </c>
      <c r="J75" s="44">
        <v>0</v>
      </c>
      <c r="K75" s="30"/>
      <c r="L75" s="35" t="str">
        <f t="shared" si="0"/>
        <v/>
      </c>
      <c r="M75" s="36"/>
      <c r="N75" s="20" t="s">
        <v>48</v>
      </c>
      <c r="O75" s="20" t="s">
        <v>48</v>
      </c>
    </row>
    <row r="76" spans="1:15" ht="21.75" customHeight="1">
      <c r="A76" s="11">
        <v>67</v>
      </c>
      <c r="B76" s="12">
        <v>2060</v>
      </c>
      <c r="C76" s="14" t="s">
        <v>361</v>
      </c>
      <c r="D76" s="18" t="s">
        <v>367</v>
      </c>
      <c r="E76" s="11" t="s">
        <v>31</v>
      </c>
      <c r="F76" s="20" t="s">
        <v>434</v>
      </c>
      <c r="G76" s="23">
        <v>0</v>
      </c>
      <c r="H76" s="27">
        <v>0</v>
      </c>
      <c r="I76" s="27">
        <v>0</v>
      </c>
      <c r="J76" s="27">
        <v>0</v>
      </c>
      <c r="K76" s="30"/>
      <c r="L76" s="35" t="str">
        <f t="shared" si="0"/>
        <v/>
      </c>
      <c r="M76" s="36"/>
      <c r="N76" s="20" t="s">
        <v>48</v>
      </c>
      <c r="O76" s="20" t="s">
        <v>48</v>
      </c>
    </row>
    <row r="77" spans="1:15" ht="21.75" customHeight="1">
      <c r="A77" s="16">
        <v>68</v>
      </c>
      <c r="B77" s="39">
        <v>2488</v>
      </c>
      <c r="C77" s="40" t="s">
        <v>361</v>
      </c>
      <c r="D77" s="41" t="s">
        <v>371</v>
      </c>
      <c r="E77" s="16" t="s">
        <v>31</v>
      </c>
      <c r="F77" s="42" t="s">
        <v>434</v>
      </c>
      <c r="G77" s="43">
        <v>3</v>
      </c>
      <c r="H77" s="44">
        <v>4</v>
      </c>
      <c r="I77" s="44">
        <v>1</v>
      </c>
      <c r="J77" s="44">
        <v>1</v>
      </c>
      <c r="K77" s="30"/>
      <c r="L77" s="35" t="str">
        <f t="shared" si="0"/>
        <v/>
      </c>
      <c r="M77" s="36"/>
      <c r="N77" s="20" t="s">
        <v>48</v>
      </c>
      <c r="O77" s="20" t="s">
        <v>48</v>
      </c>
    </row>
    <row r="78" spans="1:15" ht="21.75" customHeight="1">
      <c r="A78" s="11">
        <v>69</v>
      </c>
      <c r="B78" s="12">
        <v>2487</v>
      </c>
      <c r="C78" s="14" t="s">
        <v>376</v>
      </c>
      <c r="D78" s="18" t="s">
        <v>377</v>
      </c>
      <c r="E78" s="11" t="s">
        <v>31</v>
      </c>
      <c r="F78" s="20" t="s">
        <v>434</v>
      </c>
      <c r="G78" s="23">
        <v>4</v>
      </c>
      <c r="H78" s="27">
        <v>7</v>
      </c>
      <c r="I78" s="27">
        <v>2</v>
      </c>
      <c r="J78" s="27">
        <v>2</v>
      </c>
      <c r="K78" s="30"/>
      <c r="L78" s="35" t="str">
        <f t="shared" si="0"/>
        <v/>
      </c>
      <c r="M78" s="36"/>
      <c r="N78" s="20" t="s">
        <v>48</v>
      </c>
      <c r="O78" s="20" t="s">
        <v>48</v>
      </c>
    </row>
    <row r="79" spans="1:15" ht="21.75" customHeight="1">
      <c r="A79" s="16">
        <v>70</v>
      </c>
      <c r="B79" s="39">
        <v>2076</v>
      </c>
      <c r="C79" s="40" t="s">
        <v>376</v>
      </c>
      <c r="D79" s="41" t="s">
        <v>379</v>
      </c>
      <c r="E79" s="16" t="s">
        <v>31</v>
      </c>
      <c r="F79" s="42" t="s">
        <v>434</v>
      </c>
      <c r="G79" s="43">
        <v>0</v>
      </c>
      <c r="H79" s="44">
        <v>0</v>
      </c>
      <c r="I79" s="44">
        <v>0</v>
      </c>
      <c r="J79" s="44">
        <v>0</v>
      </c>
      <c r="K79" s="30"/>
      <c r="L79" s="35" t="str">
        <f t="shared" si="0"/>
        <v/>
      </c>
      <c r="M79" s="36"/>
      <c r="N79" s="20" t="s">
        <v>48</v>
      </c>
      <c r="O79" s="20" t="s">
        <v>48</v>
      </c>
    </row>
    <row r="80" spans="1:15" ht="21.75" customHeight="1">
      <c r="A80" s="11">
        <v>71</v>
      </c>
      <c r="B80" s="12">
        <v>2077</v>
      </c>
      <c r="C80" s="14" t="s">
        <v>376</v>
      </c>
      <c r="D80" s="18" t="s">
        <v>380</v>
      </c>
      <c r="E80" s="11" t="s">
        <v>31</v>
      </c>
      <c r="F80" s="20" t="s">
        <v>434</v>
      </c>
      <c r="G80" s="23">
        <v>0</v>
      </c>
      <c r="H80" s="27">
        <v>0</v>
      </c>
      <c r="I80" s="27">
        <v>0</v>
      </c>
      <c r="J80" s="27">
        <v>0</v>
      </c>
      <c r="K80" s="30"/>
      <c r="L80" s="35" t="str">
        <f t="shared" si="0"/>
        <v/>
      </c>
      <c r="M80" s="36"/>
      <c r="N80" s="20" t="s">
        <v>48</v>
      </c>
      <c r="O80" s="20" t="s">
        <v>48</v>
      </c>
    </row>
    <row r="81" spans="1:15" ht="21.75" customHeight="1">
      <c r="A81" s="16">
        <v>72</v>
      </c>
      <c r="B81" s="39">
        <v>2078</v>
      </c>
      <c r="C81" s="40" t="s">
        <v>382</v>
      </c>
      <c r="D81" s="41" t="s">
        <v>383</v>
      </c>
      <c r="E81" s="16" t="s">
        <v>31</v>
      </c>
      <c r="F81" s="42" t="s">
        <v>434</v>
      </c>
      <c r="G81" s="43">
        <v>0</v>
      </c>
      <c r="H81" s="44">
        <v>0</v>
      </c>
      <c r="I81" s="44">
        <v>0</v>
      </c>
      <c r="J81" s="44">
        <v>0</v>
      </c>
      <c r="K81" s="30"/>
      <c r="L81" s="35" t="str">
        <f t="shared" si="0"/>
        <v/>
      </c>
      <c r="M81" s="36"/>
      <c r="N81" s="20" t="s">
        <v>48</v>
      </c>
      <c r="O81" s="20" t="s">
        <v>48</v>
      </c>
    </row>
    <row r="82" spans="1:15" ht="21.75" customHeight="1">
      <c r="A82" s="11">
        <v>73</v>
      </c>
      <c r="B82" s="12">
        <v>2079</v>
      </c>
      <c r="C82" s="14" t="s">
        <v>384</v>
      </c>
      <c r="D82" s="18" t="s">
        <v>385</v>
      </c>
      <c r="E82" s="11" t="s">
        <v>31</v>
      </c>
      <c r="F82" s="20" t="s">
        <v>434</v>
      </c>
      <c r="G82" s="23">
        <v>0</v>
      </c>
      <c r="H82" s="27">
        <v>0</v>
      </c>
      <c r="I82" s="27">
        <v>0</v>
      </c>
      <c r="J82" s="27">
        <v>0</v>
      </c>
      <c r="K82" s="30"/>
      <c r="L82" s="35" t="str">
        <f t="shared" si="0"/>
        <v/>
      </c>
      <c r="M82" s="36"/>
      <c r="N82" s="20" t="s">
        <v>48</v>
      </c>
      <c r="O82" s="20" t="s">
        <v>48</v>
      </c>
    </row>
    <row r="83" spans="1:15" ht="21.75" customHeight="1">
      <c r="A83" s="16">
        <v>74</v>
      </c>
      <c r="B83" s="39">
        <v>2057</v>
      </c>
      <c r="C83" s="40" t="s">
        <v>384</v>
      </c>
      <c r="D83" s="41" t="s">
        <v>386</v>
      </c>
      <c r="E83" s="16" t="s">
        <v>31</v>
      </c>
      <c r="F83" s="42" t="s">
        <v>434</v>
      </c>
      <c r="G83" s="43">
        <v>0</v>
      </c>
      <c r="H83" s="44">
        <v>0</v>
      </c>
      <c r="I83" s="44">
        <v>0</v>
      </c>
      <c r="J83" s="44">
        <v>0</v>
      </c>
      <c r="K83" s="30"/>
      <c r="L83" s="35" t="str">
        <f t="shared" si="0"/>
        <v/>
      </c>
      <c r="M83" s="36"/>
      <c r="N83" s="20" t="s">
        <v>48</v>
      </c>
      <c r="O83" s="20" t="s">
        <v>48</v>
      </c>
    </row>
    <row r="84" spans="1:15" ht="21.75" customHeight="1">
      <c r="A84" s="11">
        <v>75</v>
      </c>
      <c r="B84" s="12">
        <v>2489</v>
      </c>
      <c r="C84" s="14" t="s">
        <v>387</v>
      </c>
      <c r="D84" s="18" t="s">
        <v>388</v>
      </c>
      <c r="E84" s="11" t="s">
        <v>31</v>
      </c>
      <c r="F84" s="20" t="s">
        <v>434</v>
      </c>
      <c r="G84" s="23">
        <v>4</v>
      </c>
      <c r="H84" s="27">
        <v>15</v>
      </c>
      <c r="I84" s="27">
        <v>9</v>
      </c>
      <c r="J84" s="27">
        <v>1</v>
      </c>
      <c r="K84" s="30"/>
      <c r="L84" s="35" t="str">
        <f t="shared" si="0"/>
        <v/>
      </c>
      <c r="M84" s="36"/>
      <c r="N84" s="20" t="s">
        <v>48</v>
      </c>
      <c r="O84" s="20" t="s">
        <v>48</v>
      </c>
    </row>
    <row r="85" spans="1:15" ht="21.75" customHeight="1">
      <c r="A85" s="16">
        <v>76</v>
      </c>
      <c r="B85" s="39">
        <v>2074</v>
      </c>
      <c r="C85" s="40" t="s">
        <v>387</v>
      </c>
      <c r="D85" s="41" t="s">
        <v>390</v>
      </c>
      <c r="E85" s="16" t="s">
        <v>31</v>
      </c>
      <c r="F85" s="42" t="s">
        <v>434</v>
      </c>
      <c r="G85" s="43">
        <v>0</v>
      </c>
      <c r="H85" s="44">
        <v>0</v>
      </c>
      <c r="I85" s="44">
        <v>0</v>
      </c>
      <c r="J85" s="44">
        <v>0</v>
      </c>
      <c r="K85" s="30"/>
      <c r="L85" s="35" t="str">
        <f t="shared" si="0"/>
        <v/>
      </c>
      <c r="M85" s="36"/>
      <c r="N85" s="20" t="s">
        <v>48</v>
      </c>
      <c r="O85" s="20" t="s">
        <v>48</v>
      </c>
    </row>
    <row r="86" spans="1:15" ht="21.75" customHeight="1">
      <c r="A86" s="11">
        <v>77</v>
      </c>
      <c r="B86" s="12">
        <v>2490</v>
      </c>
      <c r="C86" s="14" t="s">
        <v>387</v>
      </c>
      <c r="D86" s="18" t="s">
        <v>397</v>
      </c>
      <c r="E86" s="11" t="s">
        <v>31</v>
      </c>
      <c r="F86" s="20" t="s">
        <v>434</v>
      </c>
      <c r="G86" s="23">
        <v>31</v>
      </c>
      <c r="H86" s="27">
        <v>141</v>
      </c>
      <c r="I86" s="27">
        <v>69</v>
      </c>
      <c r="J86" s="27">
        <v>10</v>
      </c>
      <c r="K86" s="30"/>
      <c r="L86" s="35" t="str">
        <f t="shared" si="0"/>
        <v/>
      </c>
      <c r="M86" s="36"/>
      <c r="N86" s="20" t="s">
        <v>48</v>
      </c>
      <c r="O86" s="20" t="s">
        <v>48</v>
      </c>
    </row>
    <row r="87" spans="1:15" ht="21.75" customHeight="1">
      <c r="A87" s="16">
        <v>78</v>
      </c>
      <c r="B87" s="39">
        <v>2491</v>
      </c>
      <c r="C87" s="40" t="s">
        <v>387</v>
      </c>
      <c r="D87" s="41" t="s">
        <v>399</v>
      </c>
      <c r="E87" s="16" t="s">
        <v>31</v>
      </c>
      <c r="F87" s="42" t="s">
        <v>434</v>
      </c>
      <c r="G87" s="43">
        <v>40</v>
      </c>
      <c r="H87" s="44">
        <v>53</v>
      </c>
      <c r="I87" s="44">
        <v>0</v>
      </c>
      <c r="J87" s="44">
        <v>0</v>
      </c>
      <c r="K87" s="30"/>
      <c r="L87" s="35" t="str">
        <f t="shared" si="0"/>
        <v/>
      </c>
      <c r="M87" s="36"/>
      <c r="N87" s="20" t="s">
        <v>48</v>
      </c>
      <c r="O87" s="20" t="s">
        <v>48</v>
      </c>
    </row>
    <row r="88" spans="1:15" ht="21.75" customHeight="1">
      <c r="A88" s="11">
        <v>79</v>
      </c>
      <c r="B88" s="12">
        <v>2042</v>
      </c>
      <c r="C88" s="14" t="s">
        <v>387</v>
      </c>
      <c r="D88" s="18" t="s">
        <v>402</v>
      </c>
      <c r="E88" s="11" t="s">
        <v>31</v>
      </c>
      <c r="F88" s="20" t="s">
        <v>434</v>
      </c>
      <c r="G88" s="23">
        <v>0</v>
      </c>
      <c r="H88" s="27">
        <v>0</v>
      </c>
      <c r="I88" s="27">
        <v>0</v>
      </c>
      <c r="J88" s="27">
        <v>0</v>
      </c>
      <c r="K88" s="30"/>
      <c r="L88" s="35" t="str">
        <f t="shared" si="0"/>
        <v/>
      </c>
      <c r="M88" s="36"/>
      <c r="N88" s="20" t="s">
        <v>48</v>
      </c>
      <c r="O88" s="20" t="s">
        <v>48</v>
      </c>
    </row>
    <row r="89" spans="1:15" ht="21.75" customHeight="1">
      <c r="A89" s="16">
        <v>80</v>
      </c>
      <c r="B89" s="39">
        <v>2618</v>
      </c>
      <c r="C89" s="40" t="s">
        <v>403</v>
      </c>
      <c r="D89" s="41" t="s">
        <v>404</v>
      </c>
      <c r="E89" s="16" t="s">
        <v>31</v>
      </c>
      <c r="F89" s="42" t="s">
        <v>434</v>
      </c>
      <c r="G89" s="43">
        <v>9</v>
      </c>
      <c r="H89" s="44">
        <v>108</v>
      </c>
      <c r="I89" s="44">
        <v>31</v>
      </c>
      <c r="J89" s="44">
        <v>8</v>
      </c>
      <c r="K89" s="30"/>
      <c r="L89" s="35" t="str">
        <f t="shared" si="0"/>
        <v/>
      </c>
      <c r="M89" s="36"/>
      <c r="N89" s="20" t="s">
        <v>48</v>
      </c>
      <c r="O89" s="20" t="s">
        <v>48</v>
      </c>
    </row>
    <row r="90" spans="1:15" ht="21.75" customHeight="1">
      <c r="A90" s="11">
        <v>81</v>
      </c>
      <c r="B90" s="12">
        <v>2617</v>
      </c>
      <c r="C90" s="14" t="s">
        <v>405</v>
      </c>
      <c r="D90" s="18" t="s">
        <v>406</v>
      </c>
      <c r="E90" s="11" t="s">
        <v>31</v>
      </c>
      <c r="F90" s="20" t="s">
        <v>434</v>
      </c>
      <c r="G90" s="23">
        <v>12</v>
      </c>
      <c r="H90" s="27">
        <v>76</v>
      </c>
      <c r="I90" s="27">
        <v>8</v>
      </c>
      <c r="J90" s="27">
        <v>5</v>
      </c>
      <c r="K90" s="30"/>
      <c r="L90" s="35" t="str">
        <f t="shared" si="0"/>
        <v/>
      </c>
      <c r="M90" s="36"/>
      <c r="N90" s="20" t="s">
        <v>48</v>
      </c>
      <c r="O90" s="20" t="s">
        <v>48</v>
      </c>
    </row>
    <row r="91" spans="1:15" ht="21.75" customHeight="1">
      <c r="A91" s="16">
        <v>82</v>
      </c>
      <c r="B91" s="39">
        <v>2492</v>
      </c>
      <c r="C91" s="40" t="s">
        <v>407</v>
      </c>
      <c r="D91" s="41" t="s">
        <v>408</v>
      </c>
      <c r="E91" s="16" t="s">
        <v>31</v>
      </c>
      <c r="F91" s="42" t="s">
        <v>434</v>
      </c>
      <c r="G91" s="43">
        <v>10</v>
      </c>
      <c r="H91" s="44">
        <v>20</v>
      </c>
      <c r="I91" s="44">
        <v>20</v>
      </c>
      <c r="J91" s="44">
        <v>0</v>
      </c>
      <c r="K91" s="30"/>
      <c r="L91" s="35" t="str">
        <f t="shared" si="0"/>
        <v/>
      </c>
      <c r="M91" s="36"/>
      <c r="N91" s="20" t="s">
        <v>48</v>
      </c>
      <c r="O91" s="20" t="s">
        <v>48</v>
      </c>
    </row>
    <row r="92" spans="1:15" ht="21.75" customHeight="1">
      <c r="A92" s="11">
        <v>83</v>
      </c>
      <c r="B92" s="12">
        <v>2493</v>
      </c>
      <c r="C92" s="14" t="s">
        <v>409</v>
      </c>
      <c r="D92" s="18" t="s">
        <v>410</v>
      </c>
      <c r="E92" s="11" t="s">
        <v>31</v>
      </c>
      <c r="F92" s="20" t="s">
        <v>434</v>
      </c>
      <c r="G92" s="23">
        <v>40</v>
      </c>
      <c r="H92" s="27">
        <v>43</v>
      </c>
      <c r="I92" s="27">
        <v>0</v>
      </c>
      <c r="J92" s="27">
        <v>6</v>
      </c>
      <c r="K92" s="30"/>
      <c r="L92" s="35" t="str">
        <f t="shared" si="0"/>
        <v/>
      </c>
      <c r="M92" s="36"/>
      <c r="N92" s="20" t="s">
        <v>48</v>
      </c>
      <c r="O92" s="20" t="s">
        <v>48</v>
      </c>
    </row>
    <row r="93" spans="1:15" ht="21.75" customHeight="1">
      <c r="A93" s="16">
        <v>84</v>
      </c>
      <c r="B93" s="39">
        <v>2062</v>
      </c>
      <c r="C93" s="40" t="s">
        <v>409</v>
      </c>
      <c r="D93" s="41" t="s">
        <v>412</v>
      </c>
      <c r="E93" s="16" t="s">
        <v>31</v>
      </c>
      <c r="F93" s="42" t="s">
        <v>434</v>
      </c>
      <c r="G93" s="43">
        <v>0</v>
      </c>
      <c r="H93" s="44">
        <v>0</v>
      </c>
      <c r="I93" s="44">
        <v>0</v>
      </c>
      <c r="J93" s="44">
        <v>0</v>
      </c>
      <c r="K93" s="30"/>
      <c r="L93" s="35" t="str">
        <f t="shared" si="0"/>
        <v/>
      </c>
      <c r="M93" s="36"/>
      <c r="N93" s="20" t="s">
        <v>48</v>
      </c>
      <c r="O93" s="20" t="s">
        <v>48</v>
      </c>
    </row>
    <row r="94" spans="1:15" ht="21.75" customHeight="1">
      <c r="A94" s="11">
        <v>85</v>
      </c>
      <c r="B94" s="12">
        <v>2018</v>
      </c>
      <c r="C94" s="14" t="s">
        <v>409</v>
      </c>
      <c r="D94" s="18" t="s">
        <v>413</v>
      </c>
      <c r="E94" s="11" t="s">
        <v>31</v>
      </c>
      <c r="F94" s="20" t="s">
        <v>434</v>
      </c>
      <c r="G94" s="23">
        <v>0</v>
      </c>
      <c r="H94" s="27">
        <v>0</v>
      </c>
      <c r="I94" s="27">
        <v>0</v>
      </c>
      <c r="J94" s="27">
        <v>0</v>
      </c>
      <c r="K94" s="30"/>
      <c r="L94" s="35" t="str">
        <f t="shared" si="0"/>
        <v/>
      </c>
      <c r="M94" s="36"/>
      <c r="N94" s="20" t="s">
        <v>48</v>
      </c>
      <c r="O94" s="20" t="s">
        <v>48</v>
      </c>
    </row>
    <row r="95" spans="1:15" ht="21.75" customHeight="1">
      <c r="A95" s="16">
        <v>86</v>
      </c>
      <c r="B95" s="39">
        <v>2619</v>
      </c>
      <c r="C95" s="40" t="s">
        <v>409</v>
      </c>
      <c r="D95" s="41" t="s">
        <v>437</v>
      </c>
      <c r="E95" s="16" t="s">
        <v>31</v>
      </c>
      <c r="F95" s="42" t="s">
        <v>434</v>
      </c>
      <c r="G95" s="43">
        <v>58</v>
      </c>
      <c r="H95" s="44">
        <v>38</v>
      </c>
      <c r="I95" s="44">
        <v>2</v>
      </c>
      <c r="J95" s="44">
        <v>16</v>
      </c>
      <c r="K95" s="30"/>
      <c r="L95" s="35" t="str">
        <f t="shared" si="0"/>
        <v/>
      </c>
      <c r="M95" s="36"/>
      <c r="N95" s="20" t="s">
        <v>48</v>
      </c>
      <c r="O95" s="20" t="s">
        <v>48</v>
      </c>
    </row>
    <row r="96" spans="1:15" ht="21.75" customHeight="1">
      <c r="A96" s="11">
        <v>87</v>
      </c>
      <c r="B96" s="12">
        <v>2061</v>
      </c>
      <c r="C96" s="14" t="s">
        <v>409</v>
      </c>
      <c r="D96" s="18" t="s">
        <v>439</v>
      </c>
      <c r="E96" s="11" t="s">
        <v>31</v>
      </c>
      <c r="F96" s="20" t="s">
        <v>434</v>
      </c>
      <c r="G96" s="23">
        <v>0</v>
      </c>
      <c r="H96" s="27">
        <v>0</v>
      </c>
      <c r="I96" s="27">
        <v>0</v>
      </c>
      <c r="J96" s="27">
        <v>0</v>
      </c>
      <c r="K96" s="30"/>
      <c r="L96" s="35" t="str">
        <f t="shared" si="0"/>
        <v/>
      </c>
      <c r="M96" s="36"/>
      <c r="N96" s="20" t="s">
        <v>48</v>
      </c>
      <c r="O96" s="20" t="s">
        <v>48</v>
      </c>
    </row>
    <row r="97" spans="1:15" ht="21.75" customHeight="1">
      <c r="A97" s="16">
        <v>88</v>
      </c>
      <c r="B97" s="39">
        <v>2494</v>
      </c>
      <c r="C97" s="40" t="s">
        <v>409</v>
      </c>
      <c r="D97" s="41" t="s">
        <v>440</v>
      </c>
      <c r="E97" s="16" t="s">
        <v>31</v>
      </c>
      <c r="F97" s="42" t="s">
        <v>434</v>
      </c>
      <c r="G97" s="43">
        <v>4</v>
      </c>
      <c r="H97" s="44">
        <v>10</v>
      </c>
      <c r="I97" s="44">
        <v>6</v>
      </c>
      <c r="J97" s="44">
        <v>0</v>
      </c>
      <c r="K97" s="30"/>
      <c r="L97" s="35" t="str">
        <f t="shared" si="0"/>
        <v/>
      </c>
      <c r="M97" s="36"/>
      <c r="N97" s="20" t="s">
        <v>48</v>
      </c>
      <c r="O97" s="20" t="s">
        <v>48</v>
      </c>
    </row>
    <row r="98" spans="1:15" ht="21.75" customHeight="1">
      <c r="A98" s="11">
        <v>89</v>
      </c>
      <c r="B98" s="12">
        <v>2075</v>
      </c>
      <c r="C98" s="14" t="s">
        <v>409</v>
      </c>
      <c r="D98" s="18" t="s">
        <v>441</v>
      </c>
      <c r="E98" s="11" t="s">
        <v>31</v>
      </c>
      <c r="F98" s="20" t="s">
        <v>434</v>
      </c>
      <c r="G98" s="23">
        <v>0</v>
      </c>
      <c r="H98" s="27">
        <v>0</v>
      </c>
      <c r="I98" s="27">
        <v>0</v>
      </c>
      <c r="J98" s="27">
        <v>0</v>
      </c>
      <c r="K98" s="30"/>
      <c r="L98" s="35" t="str">
        <f t="shared" si="0"/>
        <v/>
      </c>
      <c r="M98" s="36"/>
      <c r="N98" s="20" t="s">
        <v>48</v>
      </c>
      <c r="O98" s="20" t="s">
        <v>48</v>
      </c>
    </row>
    <row r="99" spans="1:15" ht="21.75" customHeight="1">
      <c r="A99" s="16">
        <v>90</v>
      </c>
      <c r="B99" s="39">
        <v>2072</v>
      </c>
      <c r="C99" s="40" t="s">
        <v>409</v>
      </c>
      <c r="D99" s="41" t="s">
        <v>442</v>
      </c>
      <c r="E99" s="16" t="s">
        <v>31</v>
      </c>
      <c r="F99" s="42" t="s">
        <v>434</v>
      </c>
      <c r="G99" s="43">
        <v>0</v>
      </c>
      <c r="H99" s="44">
        <v>0</v>
      </c>
      <c r="I99" s="44">
        <v>0</v>
      </c>
      <c r="J99" s="44">
        <v>0</v>
      </c>
      <c r="K99" s="30"/>
      <c r="L99" s="35" t="str">
        <f t="shared" si="0"/>
        <v/>
      </c>
      <c r="M99" s="36"/>
      <c r="N99" s="20" t="s">
        <v>48</v>
      </c>
      <c r="O99" s="20" t="s">
        <v>48</v>
      </c>
    </row>
    <row r="100" spans="1:15" ht="21.75" customHeight="1">
      <c r="A100" s="11">
        <v>91</v>
      </c>
      <c r="B100" s="12">
        <v>2011</v>
      </c>
      <c r="C100" s="14" t="s">
        <v>409</v>
      </c>
      <c r="D100" s="18" t="s">
        <v>443</v>
      </c>
      <c r="E100" s="11" t="s">
        <v>31</v>
      </c>
      <c r="F100" s="20" t="s">
        <v>434</v>
      </c>
      <c r="G100" s="23">
        <v>0</v>
      </c>
      <c r="H100" s="27">
        <v>0</v>
      </c>
      <c r="I100" s="27">
        <v>0</v>
      </c>
      <c r="J100" s="27">
        <v>0</v>
      </c>
      <c r="K100" s="30"/>
      <c r="L100" s="35" t="str">
        <f t="shared" si="0"/>
        <v/>
      </c>
      <c r="M100" s="36"/>
      <c r="N100" s="20" t="s">
        <v>48</v>
      </c>
      <c r="O100" s="20" t="s">
        <v>48</v>
      </c>
    </row>
    <row r="101" spans="1:15" ht="21.75" customHeight="1">
      <c r="A101" s="16">
        <v>92</v>
      </c>
      <c r="B101" s="39">
        <v>2012</v>
      </c>
      <c r="C101" s="40" t="s">
        <v>409</v>
      </c>
      <c r="D101" s="41" t="s">
        <v>444</v>
      </c>
      <c r="E101" s="16" t="s">
        <v>31</v>
      </c>
      <c r="F101" s="42" t="s">
        <v>434</v>
      </c>
      <c r="G101" s="43">
        <v>0</v>
      </c>
      <c r="H101" s="44">
        <v>0</v>
      </c>
      <c r="I101" s="44">
        <v>0</v>
      </c>
      <c r="J101" s="44">
        <v>0</v>
      </c>
      <c r="K101" s="30"/>
      <c r="L101" s="35" t="str">
        <f t="shared" si="0"/>
        <v/>
      </c>
      <c r="M101" s="36"/>
      <c r="N101" s="20" t="s">
        <v>48</v>
      </c>
      <c r="O101" s="20" t="s">
        <v>48</v>
      </c>
    </row>
    <row r="102" spans="1:15" ht="21.75" customHeight="1">
      <c r="A102" s="11">
        <v>93</v>
      </c>
      <c r="B102" s="12">
        <v>2013</v>
      </c>
      <c r="C102" s="14" t="s">
        <v>409</v>
      </c>
      <c r="D102" s="18" t="s">
        <v>445</v>
      </c>
      <c r="E102" s="11" t="s">
        <v>31</v>
      </c>
      <c r="F102" s="20" t="s">
        <v>434</v>
      </c>
      <c r="G102" s="23">
        <v>0</v>
      </c>
      <c r="H102" s="27">
        <v>0</v>
      </c>
      <c r="I102" s="27">
        <v>0</v>
      </c>
      <c r="J102" s="27">
        <v>0</v>
      </c>
      <c r="K102" s="30"/>
      <c r="L102" s="35" t="str">
        <f t="shared" si="0"/>
        <v/>
      </c>
      <c r="M102" s="36"/>
      <c r="N102" s="20" t="s">
        <v>48</v>
      </c>
      <c r="O102" s="20" t="s">
        <v>48</v>
      </c>
    </row>
    <row r="103" spans="1:15" ht="21.75" customHeight="1">
      <c r="A103" s="16">
        <v>94</v>
      </c>
      <c r="B103" s="39">
        <v>2014</v>
      </c>
      <c r="C103" s="40" t="s">
        <v>409</v>
      </c>
      <c r="D103" s="41" t="s">
        <v>446</v>
      </c>
      <c r="E103" s="16" t="s">
        <v>31</v>
      </c>
      <c r="F103" s="42" t="s">
        <v>434</v>
      </c>
      <c r="G103" s="43">
        <v>0</v>
      </c>
      <c r="H103" s="44">
        <v>0</v>
      </c>
      <c r="I103" s="44">
        <v>0</v>
      </c>
      <c r="J103" s="44">
        <v>0</v>
      </c>
      <c r="K103" s="30"/>
      <c r="L103" s="35" t="str">
        <f t="shared" si="0"/>
        <v/>
      </c>
      <c r="M103" s="36"/>
      <c r="N103" s="20" t="s">
        <v>48</v>
      </c>
      <c r="O103" s="20" t="s">
        <v>48</v>
      </c>
    </row>
    <row r="104" spans="1:15" ht="21.75" customHeight="1">
      <c r="A104" s="11">
        <v>95</v>
      </c>
      <c r="B104" s="12">
        <v>2015</v>
      </c>
      <c r="C104" s="14" t="s">
        <v>409</v>
      </c>
      <c r="D104" s="18" t="s">
        <v>447</v>
      </c>
      <c r="E104" s="11" t="s">
        <v>31</v>
      </c>
      <c r="F104" s="20" t="s">
        <v>434</v>
      </c>
      <c r="G104" s="23">
        <v>0</v>
      </c>
      <c r="H104" s="27">
        <v>0</v>
      </c>
      <c r="I104" s="27">
        <v>0</v>
      </c>
      <c r="J104" s="27">
        <v>0</v>
      </c>
      <c r="K104" s="30"/>
      <c r="L104" s="35" t="str">
        <f t="shared" si="0"/>
        <v/>
      </c>
      <c r="M104" s="36"/>
      <c r="N104" s="20" t="s">
        <v>48</v>
      </c>
      <c r="O104" s="20" t="s">
        <v>48</v>
      </c>
    </row>
    <row r="105" spans="1:15" ht="21.75" customHeight="1">
      <c r="A105" s="16">
        <v>96</v>
      </c>
      <c r="B105" s="39">
        <v>2016</v>
      </c>
      <c r="C105" s="40" t="s">
        <v>409</v>
      </c>
      <c r="D105" s="41" t="s">
        <v>450</v>
      </c>
      <c r="E105" s="16" t="s">
        <v>31</v>
      </c>
      <c r="F105" s="42" t="s">
        <v>434</v>
      </c>
      <c r="G105" s="43">
        <v>0</v>
      </c>
      <c r="H105" s="44">
        <v>0</v>
      </c>
      <c r="I105" s="44">
        <v>0</v>
      </c>
      <c r="J105" s="44">
        <v>0</v>
      </c>
      <c r="K105" s="30"/>
      <c r="L105" s="35" t="str">
        <f t="shared" si="0"/>
        <v/>
      </c>
      <c r="M105" s="36"/>
      <c r="N105" s="20" t="s">
        <v>48</v>
      </c>
      <c r="O105" s="20" t="s">
        <v>48</v>
      </c>
    </row>
    <row r="106" spans="1:15" ht="21.75" customHeight="1">
      <c r="A106" s="11">
        <v>97</v>
      </c>
      <c r="B106" s="12">
        <v>2017</v>
      </c>
      <c r="C106" s="14" t="s">
        <v>409</v>
      </c>
      <c r="D106" s="18" t="s">
        <v>451</v>
      </c>
      <c r="E106" s="11" t="s">
        <v>31</v>
      </c>
      <c r="F106" s="20" t="s">
        <v>434</v>
      </c>
      <c r="G106" s="23">
        <v>0</v>
      </c>
      <c r="H106" s="27">
        <v>0</v>
      </c>
      <c r="I106" s="27">
        <v>0</v>
      </c>
      <c r="J106" s="27">
        <v>0</v>
      </c>
      <c r="K106" s="30"/>
      <c r="L106" s="35" t="str">
        <f t="shared" si="0"/>
        <v/>
      </c>
      <c r="M106" s="36"/>
      <c r="N106" s="20" t="s">
        <v>48</v>
      </c>
      <c r="O106" s="20" t="s">
        <v>48</v>
      </c>
    </row>
    <row r="107" spans="1:15" ht="21.75" customHeight="1">
      <c r="A107" s="16">
        <v>98</v>
      </c>
      <c r="B107" s="39">
        <v>2495</v>
      </c>
      <c r="C107" s="40" t="s">
        <v>409</v>
      </c>
      <c r="D107" s="41" t="s">
        <v>452</v>
      </c>
      <c r="E107" s="16" t="s">
        <v>31</v>
      </c>
      <c r="F107" s="42" t="s">
        <v>434</v>
      </c>
      <c r="G107" s="43">
        <v>20</v>
      </c>
      <c r="H107" s="44">
        <v>71</v>
      </c>
      <c r="I107" s="44">
        <v>50</v>
      </c>
      <c r="J107" s="44">
        <v>10</v>
      </c>
      <c r="K107" s="30"/>
      <c r="L107" s="35" t="str">
        <f t="shared" si="0"/>
        <v/>
      </c>
      <c r="M107" s="36"/>
      <c r="N107" s="20" t="s">
        <v>48</v>
      </c>
      <c r="O107" s="20" t="s">
        <v>48</v>
      </c>
    </row>
    <row r="108" spans="1:15" ht="21.75" customHeight="1">
      <c r="A108" s="11">
        <v>99</v>
      </c>
      <c r="B108" s="12">
        <v>2496</v>
      </c>
      <c r="C108" s="14" t="s">
        <v>453</v>
      </c>
      <c r="D108" s="18" t="s">
        <v>454</v>
      </c>
      <c r="E108" s="11" t="s">
        <v>334</v>
      </c>
      <c r="F108" s="20" t="s">
        <v>434</v>
      </c>
      <c r="G108" s="23">
        <v>20</v>
      </c>
      <c r="H108" s="27">
        <v>61</v>
      </c>
      <c r="I108" s="27">
        <v>50</v>
      </c>
      <c r="J108" s="27">
        <v>10</v>
      </c>
      <c r="K108" s="30"/>
      <c r="L108" s="35" t="str">
        <f t="shared" si="0"/>
        <v/>
      </c>
      <c r="M108" s="36"/>
      <c r="N108" s="20" t="s">
        <v>48</v>
      </c>
      <c r="O108" s="20" t="s">
        <v>48</v>
      </c>
    </row>
    <row r="109" spans="1:15" ht="21.75" customHeight="1">
      <c r="A109" s="16">
        <v>100</v>
      </c>
      <c r="B109" s="39">
        <v>2497</v>
      </c>
      <c r="C109" s="40" t="s">
        <v>453</v>
      </c>
      <c r="D109" s="41" t="s">
        <v>455</v>
      </c>
      <c r="E109" s="16" t="s">
        <v>334</v>
      </c>
      <c r="F109" s="42" t="s">
        <v>434</v>
      </c>
      <c r="G109" s="43">
        <v>18</v>
      </c>
      <c r="H109" s="44">
        <v>26</v>
      </c>
      <c r="I109" s="44">
        <v>2</v>
      </c>
      <c r="J109" s="44">
        <v>14</v>
      </c>
      <c r="K109" s="30"/>
      <c r="L109" s="35" t="str">
        <f t="shared" si="0"/>
        <v/>
      </c>
      <c r="M109" s="36"/>
      <c r="N109" s="20" t="s">
        <v>48</v>
      </c>
      <c r="O109" s="20" t="s">
        <v>48</v>
      </c>
    </row>
    <row r="110" spans="1:15" ht="21.75" customHeight="1">
      <c r="A110" s="11">
        <v>101</v>
      </c>
      <c r="B110" s="12">
        <v>2498</v>
      </c>
      <c r="C110" s="14" t="s">
        <v>456</v>
      </c>
      <c r="D110" s="18" t="s">
        <v>454</v>
      </c>
      <c r="E110" s="11" t="s">
        <v>37</v>
      </c>
      <c r="F110" s="20" t="s">
        <v>434</v>
      </c>
      <c r="G110" s="23">
        <v>0</v>
      </c>
      <c r="H110" s="27">
        <v>10</v>
      </c>
      <c r="I110" s="27">
        <v>10</v>
      </c>
      <c r="J110" s="27">
        <v>0</v>
      </c>
      <c r="K110" s="30"/>
      <c r="L110" s="35" t="str">
        <f t="shared" si="0"/>
        <v/>
      </c>
      <c r="M110" s="36"/>
      <c r="N110" s="20" t="s">
        <v>48</v>
      </c>
      <c r="O110" s="20" t="s">
        <v>48</v>
      </c>
    </row>
    <row r="111" spans="1:15" ht="21.75" customHeight="1">
      <c r="A111" s="16">
        <v>102</v>
      </c>
      <c r="B111" s="39">
        <v>2019</v>
      </c>
      <c r="C111" s="40" t="s">
        <v>456</v>
      </c>
      <c r="D111" s="41" t="s">
        <v>455</v>
      </c>
      <c r="E111" s="16" t="s">
        <v>37</v>
      </c>
      <c r="F111" s="42" t="s">
        <v>434</v>
      </c>
      <c r="G111" s="43">
        <v>0</v>
      </c>
      <c r="H111" s="44">
        <v>0</v>
      </c>
      <c r="I111" s="44">
        <v>0</v>
      </c>
      <c r="J111" s="44">
        <v>0</v>
      </c>
      <c r="K111" s="30"/>
      <c r="L111" s="35" t="str">
        <f t="shared" si="0"/>
        <v/>
      </c>
      <c r="M111" s="36"/>
      <c r="N111" s="20" t="s">
        <v>48</v>
      </c>
      <c r="O111" s="20" t="s">
        <v>48</v>
      </c>
    </row>
    <row r="112" spans="1:15" ht="21.75" customHeight="1">
      <c r="A112" s="11">
        <v>103</v>
      </c>
      <c r="B112" s="39">
        <v>1992</v>
      </c>
      <c r="C112" s="40" t="s">
        <v>457</v>
      </c>
      <c r="D112" s="41" t="s">
        <v>458</v>
      </c>
      <c r="E112" s="16" t="s">
        <v>111</v>
      </c>
      <c r="F112" s="42" t="s">
        <v>434</v>
      </c>
      <c r="G112" s="43">
        <v>0</v>
      </c>
      <c r="H112" s="44">
        <v>0</v>
      </c>
      <c r="I112" s="44">
        <v>0</v>
      </c>
      <c r="J112" s="44">
        <v>0</v>
      </c>
      <c r="K112" s="30"/>
      <c r="L112" s="35" t="str">
        <f t="shared" si="0"/>
        <v/>
      </c>
      <c r="M112" s="36"/>
      <c r="N112" s="20" t="s">
        <v>48</v>
      </c>
      <c r="O112" s="20" t="s">
        <v>48</v>
      </c>
    </row>
    <row r="113" spans="1:15" ht="21.75" customHeight="1">
      <c r="A113" s="16">
        <v>104</v>
      </c>
      <c r="B113" s="12">
        <v>1993</v>
      </c>
      <c r="C113" s="14" t="s">
        <v>457</v>
      </c>
      <c r="D113" s="18" t="s">
        <v>459</v>
      </c>
      <c r="E113" s="11" t="s">
        <v>111</v>
      </c>
      <c r="F113" s="20" t="s">
        <v>434</v>
      </c>
      <c r="G113" s="23">
        <v>0</v>
      </c>
      <c r="H113" s="27">
        <v>0</v>
      </c>
      <c r="I113" s="27">
        <v>0</v>
      </c>
      <c r="J113" s="27">
        <v>0</v>
      </c>
      <c r="K113" s="30"/>
      <c r="L113" s="35" t="str">
        <f t="shared" si="0"/>
        <v/>
      </c>
      <c r="M113" s="36"/>
      <c r="N113" s="20" t="s">
        <v>48</v>
      </c>
      <c r="O113" s="20" t="s">
        <v>48</v>
      </c>
    </row>
    <row r="114" spans="1:15" ht="21.75" customHeight="1">
      <c r="A114" s="11">
        <v>105</v>
      </c>
      <c r="B114" s="39">
        <v>1994</v>
      </c>
      <c r="C114" s="40" t="s">
        <v>460</v>
      </c>
      <c r="D114" s="41" t="s">
        <v>461</v>
      </c>
      <c r="E114" s="16" t="s">
        <v>111</v>
      </c>
      <c r="F114" s="42" t="s">
        <v>434</v>
      </c>
      <c r="G114" s="43">
        <v>0</v>
      </c>
      <c r="H114" s="44">
        <v>0</v>
      </c>
      <c r="I114" s="44">
        <v>0</v>
      </c>
      <c r="J114" s="44">
        <v>0</v>
      </c>
      <c r="K114" s="30"/>
      <c r="L114" s="35" t="str">
        <f t="shared" si="0"/>
        <v/>
      </c>
      <c r="M114" s="36"/>
      <c r="N114" s="20" t="s">
        <v>48</v>
      </c>
      <c r="O114" s="20" t="s">
        <v>48</v>
      </c>
    </row>
    <row r="115" spans="1:15" ht="21.75" customHeight="1">
      <c r="A115" s="16">
        <v>106</v>
      </c>
      <c r="B115" s="12">
        <v>1995</v>
      </c>
      <c r="C115" s="14" t="s">
        <v>462</v>
      </c>
      <c r="D115" s="18" t="s">
        <v>463</v>
      </c>
      <c r="E115" s="11" t="s">
        <v>111</v>
      </c>
      <c r="F115" s="20" t="s">
        <v>434</v>
      </c>
      <c r="G115" s="23">
        <v>0</v>
      </c>
      <c r="H115" s="27">
        <v>0</v>
      </c>
      <c r="I115" s="27">
        <v>0</v>
      </c>
      <c r="J115" s="27">
        <v>0</v>
      </c>
      <c r="K115" s="30"/>
      <c r="L115" s="35" t="str">
        <f t="shared" si="0"/>
        <v/>
      </c>
      <c r="M115" s="36"/>
      <c r="N115" s="20" t="s">
        <v>48</v>
      </c>
      <c r="O115" s="20" t="s">
        <v>48</v>
      </c>
    </row>
    <row r="116" spans="1:15" ht="21.75" customHeight="1">
      <c r="A116" s="11">
        <v>107</v>
      </c>
      <c r="B116" s="39">
        <v>1996</v>
      </c>
      <c r="C116" s="40" t="s">
        <v>469</v>
      </c>
      <c r="D116" s="41" t="s">
        <v>470</v>
      </c>
      <c r="E116" s="16" t="s">
        <v>307</v>
      </c>
      <c r="F116" s="42" t="s">
        <v>434</v>
      </c>
      <c r="G116" s="43">
        <v>0</v>
      </c>
      <c r="H116" s="44">
        <v>0</v>
      </c>
      <c r="I116" s="44">
        <v>0</v>
      </c>
      <c r="J116" s="44">
        <v>0</v>
      </c>
      <c r="K116" s="30"/>
      <c r="L116" s="35" t="str">
        <f t="shared" si="0"/>
        <v/>
      </c>
      <c r="M116" s="36"/>
      <c r="N116" s="20" t="s">
        <v>48</v>
      </c>
      <c r="O116" s="20" t="s">
        <v>48</v>
      </c>
    </row>
    <row r="117" spans="1:15" ht="21.75" customHeight="1">
      <c r="A117" s="16">
        <v>108</v>
      </c>
      <c r="B117" s="12">
        <v>2499</v>
      </c>
      <c r="C117" s="14" t="s">
        <v>543</v>
      </c>
      <c r="D117" s="18" t="s">
        <v>472</v>
      </c>
      <c r="E117" s="11" t="s">
        <v>473</v>
      </c>
      <c r="F117" s="20" t="s">
        <v>434</v>
      </c>
      <c r="G117" s="23">
        <v>8</v>
      </c>
      <c r="H117" s="27">
        <v>21</v>
      </c>
      <c r="I117" s="27">
        <v>2</v>
      </c>
      <c r="J117" s="27">
        <v>2</v>
      </c>
      <c r="K117" s="30"/>
      <c r="L117" s="35" t="str">
        <f t="shared" si="0"/>
        <v/>
      </c>
      <c r="M117" s="36"/>
      <c r="N117" s="20" t="s">
        <v>48</v>
      </c>
      <c r="O117" s="20" t="s">
        <v>48</v>
      </c>
    </row>
    <row r="118" spans="1:15" ht="21.75" customHeight="1">
      <c r="A118" s="11">
        <v>109</v>
      </c>
      <c r="B118" s="12">
        <v>1997</v>
      </c>
      <c r="C118" s="14" t="s">
        <v>543</v>
      </c>
      <c r="D118" s="18" t="s">
        <v>474</v>
      </c>
      <c r="E118" s="11" t="s">
        <v>307</v>
      </c>
      <c r="F118" s="20" t="s">
        <v>434</v>
      </c>
      <c r="G118" s="23">
        <v>0</v>
      </c>
      <c r="H118" s="27">
        <v>0</v>
      </c>
      <c r="I118" s="27">
        <v>0</v>
      </c>
      <c r="J118" s="27">
        <v>0</v>
      </c>
      <c r="K118" s="30"/>
      <c r="L118" s="35" t="str">
        <f t="shared" si="0"/>
        <v/>
      </c>
      <c r="M118" s="36"/>
      <c r="N118" s="20" t="s">
        <v>48</v>
      </c>
      <c r="O118" s="20" t="s">
        <v>48</v>
      </c>
    </row>
    <row r="119" spans="1:15" ht="21.75" customHeight="1">
      <c r="A119" s="16">
        <v>110</v>
      </c>
      <c r="B119" s="39">
        <v>1998</v>
      </c>
      <c r="C119" s="40" t="s">
        <v>543</v>
      </c>
      <c r="D119" s="41" t="s">
        <v>475</v>
      </c>
      <c r="E119" s="16" t="s">
        <v>307</v>
      </c>
      <c r="F119" s="42" t="s">
        <v>434</v>
      </c>
      <c r="G119" s="43">
        <v>0</v>
      </c>
      <c r="H119" s="44">
        <v>0</v>
      </c>
      <c r="I119" s="44">
        <v>0</v>
      </c>
      <c r="J119" s="44">
        <v>0</v>
      </c>
      <c r="K119" s="30"/>
      <c r="L119" s="35" t="str">
        <f t="shared" si="0"/>
        <v/>
      </c>
      <c r="M119" s="36"/>
      <c r="N119" s="20" t="s">
        <v>48</v>
      </c>
      <c r="O119" s="20" t="s">
        <v>48</v>
      </c>
    </row>
    <row r="120" spans="1:15" ht="21.75" customHeight="1">
      <c r="A120" s="11">
        <v>111</v>
      </c>
      <c r="B120" s="12">
        <v>1999</v>
      </c>
      <c r="C120" s="14" t="s">
        <v>543</v>
      </c>
      <c r="D120" s="18" t="s">
        <v>476</v>
      </c>
      <c r="E120" s="11" t="s">
        <v>307</v>
      </c>
      <c r="F120" s="20" t="s">
        <v>434</v>
      </c>
      <c r="G120" s="23">
        <v>0</v>
      </c>
      <c r="H120" s="27">
        <v>0</v>
      </c>
      <c r="I120" s="27">
        <v>0</v>
      </c>
      <c r="J120" s="27">
        <v>0</v>
      </c>
      <c r="K120" s="30"/>
      <c r="L120" s="35" t="str">
        <f t="shared" si="0"/>
        <v/>
      </c>
      <c r="M120" s="36"/>
      <c r="N120" s="20" t="s">
        <v>48</v>
      </c>
      <c r="O120" s="20" t="s">
        <v>48</v>
      </c>
    </row>
    <row r="121" spans="1:15" ht="21.75" customHeight="1">
      <c r="A121" s="16">
        <v>112</v>
      </c>
      <c r="B121" s="39">
        <v>2000</v>
      </c>
      <c r="C121" s="40" t="s">
        <v>477</v>
      </c>
      <c r="D121" s="41" t="s">
        <v>478</v>
      </c>
      <c r="E121" s="16" t="s">
        <v>44</v>
      </c>
      <c r="F121" s="42" t="s">
        <v>434</v>
      </c>
      <c r="G121" s="43">
        <v>0</v>
      </c>
      <c r="H121" s="44">
        <v>0</v>
      </c>
      <c r="I121" s="44">
        <v>0</v>
      </c>
      <c r="J121" s="44">
        <v>0</v>
      </c>
      <c r="K121" s="30"/>
      <c r="L121" s="35" t="str">
        <f t="shared" si="0"/>
        <v/>
      </c>
      <c r="M121" s="36"/>
      <c r="N121" s="20" t="s">
        <v>48</v>
      </c>
      <c r="O121" s="20" t="s">
        <v>48</v>
      </c>
    </row>
    <row r="122" spans="1:15" ht="21.75" customHeight="1">
      <c r="A122" s="11">
        <v>113</v>
      </c>
      <c r="B122" s="12">
        <v>2001</v>
      </c>
      <c r="C122" s="14" t="s">
        <v>479</v>
      </c>
      <c r="D122" s="18" t="s">
        <v>480</v>
      </c>
      <c r="E122" s="11" t="s">
        <v>37</v>
      </c>
      <c r="F122" s="20" t="s">
        <v>434</v>
      </c>
      <c r="G122" s="23">
        <v>0</v>
      </c>
      <c r="H122" s="27">
        <v>0</v>
      </c>
      <c r="I122" s="27">
        <v>0</v>
      </c>
      <c r="J122" s="27">
        <v>0</v>
      </c>
      <c r="K122" s="30"/>
      <c r="L122" s="35" t="str">
        <f t="shared" si="0"/>
        <v/>
      </c>
      <c r="M122" s="36"/>
      <c r="N122" s="20" t="s">
        <v>48</v>
      </c>
      <c r="O122" s="20" t="s">
        <v>48</v>
      </c>
    </row>
    <row r="123" spans="1:15" ht="21.75" customHeight="1">
      <c r="A123" s="16">
        <v>114</v>
      </c>
      <c r="B123" s="39">
        <v>2506</v>
      </c>
      <c r="C123" s="40" t="s">
        <v>481</v>
      </c>
      <c r="D123" s="41" t="s">
        <v>482</v>
      </c>
      <c r="E123" s="16" t="s">
        <v>37</v>
      </c>
      <c r="F123" s="42" t="s">
        <v>434</v>
      </c>
      <c r="G123" s="43">
        <v>0</v>
      </c>
      <c r="H123" s="44">
        <v>20</v>
      </c>
      <c r="I123" s="44">
        <v>20</v>
      </c>
      <c r="J123" s="44">
        <v>0</v>
      </c>
      <c r="K123" s="30"/>
      <c r="L123" s="35" t="str">
        <f t="shared" si="0"/>
        <v/>
      </c>
      <c r="M123" s="36"/>
      <c r="N123" s="20" t="s">
        <v>48</v>
      </c>
      <c r="O123" s="20" t="s">
        <v>48</v>
      </c>
    </row>
    <row r="124" spans="1:15" ht="21.75" customHeight="1">
      <c r="A124" s="11">
        <v>115</v>
      </c>
      <c r="B124" s="12">
        <v>2020</v>
      </c>
      <c r="C124" s="14" t="s">
        <v>481</v>
      </c>
      <c r="D124" s="18" t="s">
        <v>483</v>
      </c>
      <c r="E124" s="11" t="s">
        <v>37</v>
      </c>
      <c r="F124" s="20" t="s">
        <v>434</v>
      </c>
      <c r="G124" s="23">
        <v>0</v>
      </c>
      <c r="H124" s="27">
        <v>0</v>
      </c>
      <c r="I124" s="27">
        <v>0</v>
      </c>
      <c r="J124" s="27">
        <v>0</v>
      </c>
      <c r="K124" s="30"/>
      <c r="L124" s="35" t="str">
        <f t="shared" si="0"/>
        <v/>
      </c>
      <c r="M124" s="36"/>
      <c r="N124" s="20" t="s">
        <v>48</v>
      </c>
      <c r="O124" s="20" t="s">
        <v>48</v>
      </c>
    </row>
    <row r="125" spans="1:15" ht="21.75" customHeight="1">
      <c r="A125" s="16">
        <v>116</v>
      </c>
      <c r="B125" s="39">
        <v>2021</v>
      </c>
      <c r="C125" s="40" t="s">
        <v>481</v>
      </c>
      <c r="D125" s="41" t="s">
        <v>484</v>
      </c>
      <c r="E125" s="16" t="s">
        <v>37</v>
      </c>
      <c r="F125" s="42" t="s">
        <v>434</v>
      </c>
      <c r="G125" s="43">
        <v>0</v>
      </c>
      <c r="H125" s="44">
        <v>0</v>
      </c>
      <c r="I125" s="44">
        <v>0</v>
      </c>
      <c r="J125" s="44">
        <v>0</v>
      </c>
      <c r="K125" s="30"/>
      <c r="L125" s="35" t="str">
        <f t="shared" si="0"/>
        <v/>
      </c>
      <c r="M125" s="36"/>
      <c r="N125" s="20" t="s">
        <v>48</v>
      </c>
      <c r="O125" s="20" t="s">
        <v>48</v>
      </c>
    </row>
    <row r="126" spans="1:15" ht="21.75" customHeight="1">
      <c r="A126" s="11">
        <v>117</v>
      </c>
      <c r="B126" s="12">
        <v>2022</v>
      </c>
      <c r="C126" s="14" t="s">
        <v>485</v>
      </c>
      <c r="D126" s="18" t="s">
        <v>486</v>
      </c>
      <c r="E126" s="11" t="s">
        <v>37</v>
      </c>
      <c r="F126" s="20" t="s">
        <v>434</v>
      </c>
      <c r="G126" s="23">
        <v>0</v>
      </c>
      <c r="H126" s="27">
        <v>0</v>
      </c>
      <c r="I126" s="27">
        <v>0</v>
      </c>
      <c r="J126" s="27">
        <v>0</v>
      </c>
      <c r="K126" s="30"/>
      <c r="L126" s="35" t="str">
        <f t="shared" si="0"/>
        <v/>
      </c>
      <c r="M126" s="36"/>
      <c r="N126" s="20" t="s">
        <v>48</v>
      </c>
      <c r="O126" s="20" t="s">
        <v>48</v>
      </c>
    </row>
    <row r="127" spans="1:15" ht="21.75" customHeight="1">
      <c r="A127" s="16">
        <v>118</v>
      </c>
      <c r="B127" s="39">
        <v>2037</v>
      </c>
      <c r="C127" s="40" t="s">
        <v>497</v>
      </c>
      <c r="D127" s="41" t="s">
        <v>498</v>
      </c>
      <c r="E127" s="16" t="s">
        <v>31</v>
      </c>
      <c r="F127" s="42" t="s">
        <v>434</v>
      </c>
      <c r="G127" s="43">
        <v>0</v>
      </c>
      <c r="H127" s="44">
        <v>0</v>
      </c>
      <c r="I127" s="44">
        <v>0</v>
      </c>
      <c r="J127" s="44">
        <v>0</v>
      </c>
      <c r="K127" s="30"/>
      <c r="L127" s="35" t="str">
        <f t="shared" si="0"/>
        <v/>
      </c>
      <c r="M127" s="36"/>
      <c r="N127" s="20" t="s">
        <v>48</v>
      </c>
      <c r="O127" s="20" t="s">
        <v>48</v>
      </c>
    </row>
    <row r="128" spans="1:15" ht="21.75" customHeight="1">
      <c r="A128" s="11">
        <v>119</v>
      </c>
      <c r="B128" s="12">
        <v>2038</v>
      </c>
      <c r="C128" s="14" t="s">
        <v>497</v>
      </c>
      <c r="D128" s="18" t="s">
        <v>499</v>
      </c>
      <c r="E128" s="11" t="s">
        <v>31</v>
      </c>
      <c r="F128" s="20" t="s">
        <v>434</v>
      </c>
      <c r="G128" s="23">
        <v>0</v>
      </c>
      <c r="H128" s="27">
        <v>0</v>
      </c>
      <c r="I128" s="27">
        <v>0</v>
      </c>
      <c r="J128" s="27">
        <v>0</v>
      </c>
      <c r="K128" s="30"/>
      <c r="L128" s="35" t="str">
        <f t="shared" si="0"/>
        <v/>
      </c>
      <c r="M128" s="36"/>
      <c r="N128" s="20" t="s">
        <v>48</v>
      </c>
      <c r="O128" s="20" t="s">
        <v>48</v>
      </c>
    </row>
    <row r="129" spans="1:15" ht="21.75" customHeight="1">
      <c r="A129" s="16">
        <v>120</v>
      </c>
      <c r="B129" s="39">
        <v>2041</v>
      </c>
      <c r="C129" s="40" t="s">
        <v>500</v>
      </c>
      <c r="D129" s="41" t="s">
        <v>501</v>
      </c>
      <c r="E129" s="16" t="s">
        <v>38</v>
      </c>
      <c r="F129" s="42" t="s">
        <v>434</v>
      </c>
      <c r="G129" s="43">
        <v>0</v>
      </c>
      <c r="H129" s="44">
        <v>0</v>
      </c>
      <c r="I129" s="44">
        <v>0</v>
      </c>
      <c r="J129" s="44">
        <v>0</v>
      </c>
      <c r="K129" s="30"/>
      <c r="L129" s="35" t="str">
        <f t="shared" si="0"/>
        <v/>
      </c>
      <c r="M129" s="36"/>
      <c r="N129" s="20" t="s">
        <v>48</v>
      </c>
      <c r="O129" s="20" t="s">
        <v>48</v>
      </c>
    </row>
    <row r="130" spans="1:15" ht="21.75" customHeight="1">
      <c r="A130" s="11">
        <v>121</v>
      </c>
      <c r="B130" s="12">
        <v>2470</v>
      </c>
      <c r="C130" s="14" t="s">
        <v>502</v>
      </c>
      <c r="D130" s="18" t="s">
        <v>503</v>
      </c>
      <c r="E130" s="11" t="s">
        <v>37</v>
      </c>
      <c r="F130" s="20" t="s">
        <v>434</v>
      </c>
      <c r="G130" s="23">
        <v>0</v>
      </c>
      <c r="H130" s="27">
        <v>20</v>
      </c>
      <c r="I130" s="27">
        <v>20</v>
      </c>
      <c r="J130" s="27">
        <v>0</v>
      </c>
      <c r="K130" s="30"/>
      <c r="L130" s="35" t="str">
        <f t="shared" si="0"/>
        <v/>
      </c>
      <c r="M130" s="36"/>
      <c r="N130" s="20" t="s">
        <v>48</v>
      </c>
      <c r="O130" s="20" t="s">
        <v>48</v>
      </c>
    </row>
    <row r="131" spans="1:15" ht="21.75" customHeight="1">
      <c r="A131" s="16">
        <v>122</v>
      </c>
      <c r="B131" s="39">
        <v>2471</v>
      </c>
      <c r="C131" s="40" t="s">
        <v>504</v>
      </c>
      <c r="D131" s="41" t="s">
        <v>505</v>
      </c>
      <c r="E131" s="16" t="s">
        <v>37</v>
      </c>
      <c r="F131" s="42" t="s">
        <v>434</v>
      </c>
      <c r="G131" s="43">
        <v>20</v>
      </c>
      <c r="H131" s="44">
        <v>0</v>
      </c>
      <c r="I131" s="44">
        <v>0</v>
      </c>
      <c r="J131" s="44">
        <v>0</v>
      </c>
      <c r="K131" s="30"/>
      <c r="L131" s="35" t="str">
        <f t="shared" si="0"/>
        <v/>
      </c>
      <c r="M131" s="36"/>
      <c r="N131" s="20" t="s">
        <v>48</v>
      </c>
      <c r="O131" s="20" t="s">
        <v>48</v>
      </c>
    </row>
    <row r="132" spans="1:15" ht="21.75" customHeight="1">
      <c r="A132" s="11">
        <v>123</v>
      </c>
      <c r="B132" s="12">
        <v>2472</v>
      </c>
      <c r="C132" s="14" t="s">
        <v>504</v>
      </c>
      <c r="D132" s="18" t="s">
        <v>506</v>
      </c>
      <c r="E132" s="11" t="s">
        <v>37</v>
      </c>
      <c r="F132" s="20" t="s">
        <v>434</v>
      </c>
      <c r="G132" s="23">
        <v>0</v>
      </c>
      <c r="H132" s="27">
        <v>20</v>
      </c>
      <c r="I132" s="27">
        <v>20</v>
      </c>
      <c r="J132" s="27">
        <v>0</v>
      </c>
      <c r="K132" s="30"/>
      <c r="L132" s="35" t="str">
        <f t="shared" si="0"/>
        <v/>
      </c>
      <c r="M132" s="36"/>
      <c r="N132" s="20" t="s">
        <v>48</v>
      </c>
      <c r="O132" s="20" t="s">
        <v>48</v>
      </c>
    </row>
    <row r="133" spans="1:15" ht="21.75" customHeight="1">
      <c r="A133" s="16">
        <v>124</v>
      </c>
      <c r="B133" s="39">
        <v>2475</v>
      </c>
      <c r="C133" s="40" t="s">
        <v>516</v>
      </c>
      <c r="D133" s="41" t="s">
        <v>517</v>
      </c>
      <c r="E133" s="16" t="s">
        <v>37</v>
      </c>
      <c r="F133" s="42" t="s">
        <v>434</v>
      </c>
      <c r="G133" s="43">
        <v>10</v>
      </c>
      <c r="H133" s="44">
        <v>20</v>
      </c>
      <c r="I133" s="44">
        <v>10</v>
      </c>
      <c r="J133" s="44">
        <v>0</v>
      </c>
      <c r="K133" s="30"/>
      <c r="L133" s="35" t="str">
        <f t="shared" si="0"/>
        <v/>
      </c>
      <c r="M133" s="36"/>
      <c r="N133" s="20" t="s">
        <v>48</v>
      </c>
      <c r="O133" s="20" t="s">
        <v>48</v>
      </c>
    </row>
    <row r="134" spans="1:15" ht="21.75" customHeight="1">
      <c r="A134" s="11">
        <v>125</v>
      </c>
      <c r="B134" s="12">
        <v>2476</v>
      </c>
      <c r="C134" s="14" t="s">
        <v>518</v>
      </c>
      <c r="D134" s="18" t="s">
        <v>519</v>
      </c>
      <c r="E134" s="11" t="s">
        <v>37</v>
      </c>
      <c r="F134" s="20" t="s">
        <v>434</v>
      </c>
      <c r="G134" s="23">
        <v>0</v>
      </c>
      <c r="H134" s="27">
        <v>20</v>
      </c>
      <c r="I134" s="27">
        <v>20</v>
      </c>
      <c r="J134" s="27">
        <v>0</v>
      </c>
      <c r="K134" s="30"/>
      <c r="L134" s="35" t="str">
        <f t="shared" si="0"/>
        <v/>
      </c>
      <c r="M134" s="36"/>
      <c r="N134" s="20" t="s">
        <v>48</v>
      </c>
      <c r="O134" s="20" t="s">
        <v>48</v>
      </c>
    </row>
    <row r="135" spans="1:15" ht="21.75" customHeight="1">
      <c r="A135" s="16">
        <v>126</v>
      </c>
      <c r="B135" s="12">
        <v>2501</v>
      </c>
      <c r="C135" s="14" t="s">
        <v>92</v>
      </c>
      <c r="D135" s="18" t="s">
        <v>523</v>
      </c>
      <c r="E135" s="11" t="s">
        <v>38</v>
      </c>
      <c r="F135" s="20" t="s">
        <v>434</v>
      </c>
      <c r="G135" s="23">
        <v>9</v>
      </c>
      <c r="H135" s="27">
        <v>17</v>
      </c>
      <c r="I135" s="27">
        <v>1</v>
      </c>
      <c r="J135" s="27">
        <v>11</v>
      </c>
      <c r="K135" s="30"/>
      <c r="L135" s="35" t="str">
        <f t="shared" si="0"/>
        <v/>
      </c>
      <c r="M135" s="36"/>
      <c r="N135" s="20" t="s">
        <v>48</v>
      </c>
      <c r="O135" s="20"/>
    </row>
    <row r="136" spans="1:15" ht="21.75" customHeight="1">
      <c r="A136" s="11">
        <v>127</v>
      </c>
      <c r="B136" s="12"/>
      <c r="C136" s="14" t="s">
        <v>109</v>
      </c>
      <c r="D136" s="18" t="s">
        <v>110</v>
      </c>
      <c r="E136" s="11" t="s">
        <v>111</v>
      </c>
      <c r="F136" s="20"/>
      <c r="G136" s="23"/>
      <c r="H136" s="27"/>
      <c r="I136" s="27"/>
      <c r="J136" s="27"/>
      <c r="K136" s="30"/>
      <c r="L136" s="35"/>
      <c r="M136" s="36"/>
      <c r="N136" s="20"/>
      <c r="O136" s="20"/>
    </row>
    <row r="137" spans="1:15" ht="21.75" customHeight="1">
      <c r="A137" s="16">
        <v>128</v>
      </c>
      <c r="B137" s="12"/>
      <c r="C137" s="14" t="s">
        <v>109</v>
      </c>
      <c r="D137" s="18" t="s">
        <v>114</v>
      </c>
      <c r="E137" s="11" t="s">
        <v>111</v>
      </c>
      <c r="F137" s="20"/>
      <c r="G137" s="23"/>
      <c r="H137" s="27"/>
      <c r="I137" s="27"/>
      <c r="J137" s="27"/>
      <c r="K137" s="30"/>
      <c r="L137" s="35"/>
      <c r="M137" s="36"/>
      <c r="N137" s="20"/>
      <c r="O137" s="20"/>
    </row>
    <row r="138" spans="1:15" ht="21.75" customHeight="1">
      <c r="A138" s="11">
        <v>129</v>
      </c>
      <c r="B138" s="12"/>
      <c r="C138" s="14" t="s">
        <v>119</v>
      </c>
      <c r="D138" s="18" t="s">
        <v>120</v>
      </c>
      <c r="E138" s="11" t="s">
        <v>37</v>
      </c>
      <c r="F138" s="20"/>
      <c r="G138" s="23"/>
      <c r="H138" s="27"/>
      <c r="I138" s="27"/>
      <c r="J138" s="27"/>
      <c r="K138" s="30"/>
      <c r="L138" s="35"/>
      <c r="M138" s="36"/>
      <c r="N138" s="20"/>
      <c r="O138" s="20"/>
    </row>
    <row r="139" spans="1:15" ht="21.75" customHeight="1">
      <c r="A139" s="16">
        <v>130</v>
      </c>
      <c r="B139" s="12"/>
      <c r="C139" s="14" t="s">
        <v>119</v>
      </c>
      <c r="D139" s="18" t="s">
        <v>125</v>
      </c>
      <c r="E139" s="11" t="s">
        <v>37</v>
      </c>
      <c r="F139" s="20"/>
      <c r="G139" s="23"/>
      <c r="H139" s="27"/>
      <c r="I139" s="27"/>
      <c r="J139" s="27"/>
      <c r="K139" s="30"/>
      <c r="L139" s="35"/>
      <c r="M139" s="36"/>
      <c r="N139" s="20"/>
      <c r="O139" s="20"/>
    </row>
    <row r="140" spans="1:15" ht="21.75" customHeight="1">
      <c r="A140" s="11">
        <v>131</v>
      </c>
      <c r="B140" s="12"/>
      <c r="C140" s="14" t="s">
        <v>119</v>
      </c>
      <c r="D140" s="18" t="s">
        <v>127</v>
      </c>
      <c r="E140" s="11" t="s">
        <v>37</v>
      </c>
      <c r="F140" s="20"/>
      <c r="G140" s="23"/>
      <c r="H140" s="27"/>
      <c r="I140" s="27"/>
      <c r="J140" s="27"/>
      <c r="K140" s="30"/>
      <c r="L140" s="35"/>
      <c r="M140" s="36"/>
      <c r="N140" s="20"/>
      <c r="O140" s="20"/>
    </row>
    <row r="141" spans="1:15" ht="21.75" customHeight="1">
      <c r="A141" s="16">
        <v>132</v>
      </c>
      <c r="B141" s="12"/>
      <c r="C141" s="14" t="s">
        <v>119</v>
      </c>
      <c r="D141" s="18" t="s">
        <v>131</v>
      </c>
      <c r="E141" s="11" t="s">
        <v>37</v>
      </c>
      <c r="F141" s="20"/>
      <c r="G141" s="23"/>
      <c r="H141" s="27"/>
      <c r="I141" s="27"/>
      <c r="J141" s="27"/>
      <c r="K141" s="30"/>
      <c r="L141" s="35"/>
      <c r="M141" s="36"/>
      <c r="N141" s="20"/>
      <c r="O141" s="20"/>
    </row>
    <row r="142" spans="1:15" ht="30" customHeight="1">
      <c r="A142" s="11">
        <v>133</v>
      </c>
      <c r="B142" s="12"/>
      <c r="C142" s="14" t="s">
        <v>134</v>
      </c>
      <c r="D142" s="18" t="s">
        <v>135</v>
      </c>
      <c r="E142" s="11" t="s">
        <v>37</v>
      </c>
      <c r="F142" s="20"/>
      <c r="G142" s="23"/>
      <c r="H142" s="27"/>
      <c r="I142" s="27"/>
      <c r="J142" s="27"/>
      <c r="K142" s="30"/>
      <c r="L142" s="35"/>
      <c r="M142" s="36"/>
      <c r="N142" s="20"/>
      <c r="O142" s="20"/>
    </row>
    <row r="143" spans="1:15" ht="21.75" customHeight="1">
      <c r="A143" s="16">
        <v>134</v>
      </c>
      <c r="B143" s="12"/>
      <c r="C143" s="14" t="s">
        <v>136</v>
      </c>
      <c r="D143" s="18" t="s">
        <v>110</v>
      </c>
      <c r="E143" s="11" t="s">
        <v>37</v>
      </c>
      <c r="F143" s="20"/>
      <c r="G143" s="23"/>
      <c r="H143" s="27"/>
      <c r="I143" s="27"/>
      <c r="J143" s="27"/>
      <c r="K143" s="30"/>
      <c r="L143" s="35"/>
      <c r="M143" s="36"/>
      <c r="N143" s="20"/>
      <c r="O143" s="20"/>
    </row>
    <row r="144" spans="1:15" ht="21.75" customHeight="1">
      <c r="A144" s="11">
        <v>135</v>
      </c>
      <c r="B144" s="12"/>
      <c r="C144" s="14" t="s">
        <v>136</v>
      </c>
      <c r="D144" s="18" t="s">
        <v>114</v>
      </c>
      <c r="E144" s="11" t="s">
        <v>37</v>
      </c>
      <c r="F144" s="20"/>
      <c r="G144" s="23"/>
      <c r="H144" s="27"/>
      <c r="I144" s="27"/>
      <c r="J144" s="27"/>
      <c r="K144" s="30"/>
      <c r="L144" s="35"/>
      <c r="M144" s="36"/>
      <c r="N144" s="20"/>
      <c r="O144" s="20"/>
    </row>
    <row r="145" spans="1:15" ht="21.75" customHeight="1">
      <c r="A145" s="16">
        <v>136</v>
      </c>
      <c r="B145" s="12"/>
      <c r="C145" s="14" t="s">
        <v>147</v>
      </c>
      <c r="D145" s="18" t="s">
        <v>110</v>
      </c>
      <c r="E145" s="11" t="s">
        <v>37</v>
      </c>
      <c r="F145" s="20"/>
      <c r="G145" s="23"/>
      <c r="H145" s="27"/>
      <c r="I145" s="27"/>
      <c r="J145" s="27"/>
      <c r="K145" s="30"/>
      <c r="L145" s="35"/>
      <c r="M145" s="36"/>
      <c r="N145" s="20"/>
      <c r="O145" s="20"/>
    </row>
    <row r="146" spans="1:15" ht="21.75" customHeight="1">
      <c r="A146" s="11">
        <v>137</v>
      </c>
      <c r="B146" s="12"/>
      <c r="C146" s="14" t="s">
        <v>147</v>
      </c>
      <c r="D146" s="18" t="s">
        <v>114</v>
      </c>
      <c r="E146" s="11" t="s">
        <v>37</v>
      </c>
      <c r="F146" s="20"/>
      <c r="G146" s="23"/>
      <c r="H146" s="27"/>
      <c r="I146" s="27"/>
      <c r="J146" s="27"/>
      <c r="K146" s="30"/>
      <c r="L146" s="35"/>
      <c r="M146" s="36"/>
      <c r="N146" s="20"/>
      <c r="O146" s="20"/>
    </row>
    <row r="147" spans="1:15" ht="26">
      <c r="A147" s="16">
        <v>138</v>
      </c>
      <c r="B147" s="12"/>
      <c r="C147" s="14" t="s">
        <v>152</v>
      </c>
      <c r="D147" s="18" t="s">
        <v>153</v>
      </c>
      <c r="E147" s="11" t="s">
        <v>37</v>
      </c>
      <c r="F147" s="20"/>
      <c r="G147" s="23"/>
      <c r="H147" s="27"/>
      <c r="I147" s="27"/>
      <c r="J147" s="27"/>
      <c r="K147" s="30"/>
      <c r="L147" s="35"/>
      <c r="M147" s="36"/>
      <c r="N147" s="20"/>
      <c r="O147" s="20"/>
    </row>
    <row r="148" spans="1:15" ht="26">
      <c r="A148" s="11">
        <v>139</v>
      </c>
      <c r="B148" s="12"/>
      <c r="C148" s="14" t="s">
        <v>152</v>
      </c>
      <c r="D148" s="18" t="s">
        <v>156</v>
      </c>
      <c r="E148" s="11" t="s">
        <v>37</v>
      </c>
      <c r="F148" s="20"/>
      <c r="G148" s="23"/>
      <c r="H148" s="27"/>
      <c r="I148" s="27"/>
      <c r="J148" s="27"/>
      <c r="K148" s="30"/>
      <c r="L148" s="35"/>
      <c r="M148" s="36"/>
      <c r="N148" s="20"/>
      <c r="O148" s="20"/>
    </row>
    <row r="149" spans="1:15" ht="21.75" customHeight="1">
      <c r="A149" s="16">
        <v>140</v>
      </c>
      <c r="B149" s="12"/>
      <c r="C149" s="14" t="s">
        <v>162</v>
      </c>
      <c r="D149" s="18" t="s">
        <v>535</v>
      </c>
      <c r="E149" s="11" t="s">
        <v>37</v>
      </c>
      <c r="F149" s="20"/>
      <c r="G149" s="23"/>
      <c r="H149" s="27"/>
      <c r="I149" s="27"/>
      <c r="J149" s="27"/>
      <c r="K149" s="30"/>
      <c r="L149" s="35"/>
      <c r="M149" s="36"/>
      <c r="N149" s="20"/>
      <c r="O149" s="20"/>
    </row>
    <row r="150" spans="1:15" ht="21.75" customHeight="1">
      <c r="A150" s="11">
        <v>141</v>
      </c>
      <c r="B150" s="12"/>
      <c r="C150" s="14" t="s">
        <v>162</v>
      </c>
      <c r="D150" s="18" t="s">
        <v>536</v>
      </c>
      <c r="E150" s="11" t="s">
        <v>37</v>
      </c>
      <c r="F150" s="20"/>
      <c r="G150" s="23"/>
      <c r="H150" s="27"/>
      <c r="I150" s="27"/>
      <c r="J150" s="27"/>
      <c r="K150" s="30"/>
      <c r="L150" s="35"/>
      <c r="M150" s="36"/>
      <c r="N150" s="20"/>
      <c r="O150" s="20"/>
    </row>
    <row r="151" spans="1:15" ht="21.75" customHeight="1">
      <c r="A151" s="16">
        <v>142</v>
      </c>
      <c r="B151" s="12"/>
      <c r="C151" s="14" t="s">
        <v>162</v>
      </c>
      <c r="D151" s="18" t="s">
        <v>537</v>
      </c>
      <c r="E151" s="11" t="s">
        <v>37</v>
      </c>
      <c r="F151" s="20"/>
      <c r="G151" s="23"/>
      <c r="H151" s="27"/>
      <c r="I151" s="27"/>
      <c r="J151" s="27"/>
      <c r="K151" s="30"/>
      <c r="L151" s="35"/>
      <c r="M151" s="36"/>
      <c r="N151" s="20"/>
      <c r="O151" s="20"/>
    </row>
    <row r="152" spans="1:15" ht="21.75" customHeight="1">
      <c r="A152" s="11">
        <v>143</v>
      </c>
      <c r="B152" s="12"/>
      <c r="C152" s="14" t="s">
        <v>169</v>
      </c>
      <c r="D152" s="18" t="s">
        <v>110</v>
      </c>
      <c r="E152" s="11" t="s">
        <v>37</v>
      </c>
      <c r="F152" s="20"/>
      <c r="G152" s="23"/>
      <c r="H152" s="27"/>
      <c r="I152" s="27"/>
      <c r="J152" s="27"/>
      <c r="K152" s="30"/>
      <c r="L152" s="35"/>
      <c r="M152" s="36"/>
      <c r="N152" s="20"/>
      <c r="O152" s="20"/>
    </row>
    <row r="153" spans="1:15" ht="21.75" customHeight="1">
      <c r="A153" s="16">
        <v>144</v>
      </c>
      <c r="B153" s="12"/>
      <c r="C153" s="14" t="s">
        <v>173</v>
      </c>
      <c r="D153" s="18" t="s">
        <v>538</v>
      </c>
      <c r="E153" s="11" t="s">
        <v>175</v>
      </c>
      <c r="F153" s="20"/>
      <c r="G153" s="23"/>
      <c r="H153" s="27"/>
      <c r="I153" s="27"/>
      <c r="J153" s="27"/>
      <c r="K153" s="30"/>
      <c r="L153" s="35"/>
      <c r="M153" s="36"/>
      <c r="N153" s="20"/>
      <c r="O153" s="20"/>
    </row>
    <row r="154" spans="1:15" ht="21.75" customHeight="1">
      <c r="A154" s="11">
        <v>145</v>
      </c>
      <c r="B154" s="12"/>
      <c r="C154" s="14" t="s">
        <v>539</v>
      </c>
      <c r="D154" s="18" t="s">
        <v>540</v>
      </c>
      <c r="E154" s="11" t="s">
        <v>175</v>
      </c>
      <c r="F154" s="20"/>
      <c r="G154" s="43"/>
      <c r="H154" s="44"/>
      <c r="I154" s="44"/>
      <c r="J154" s="44"/>
      <c r="K154" s="30"/>
      <c r="L154" s="35"/>
      <c r="M154" s="36"/>
      <c r="N154" s="20"/>
      <c r="O154" s="20"/>
    </row>
    <row r="155" spans="1:15" ht="21.75" customHeight="1">
      <c r="A155" s="16">
        <v>146</v>
      </c>
      <c r="B155" s="12"/>
      <c r="C155" s="14" t="s">
        <v>541</v>
      </c>
      <c r="D155" s="18" t="s">
        <v>542</v>
      </c>
      <c r="E155" s="11" t="s">
        <v>231</v>
      </c>
      <c r="F155" s="20"/>
      <c r="G155" s="43"/>
      <c r="H155" s="44"/>
      <c r="I155" s="44"/>
      <c r="J155" s="44"/>
      <c r="K155" s="30"/>
      <c r="L155" s="35"/>
      <c r="M155" s="36"/>
      <c r="N155" s="20"/>
      <c r="O155" s="20"/>
    </row>
    <row r="156" spans="1:15" ht="15.75" customHeight="1"/>
    <row r="157" spans="1:15" ht="15.75" customHeight="1"/>
    <row r="158" spans="1:15" ht="15.75" customHeight="1"/>
    <row r="159" spans="1:15" ht="15.75" customHeight="1"/>
    <row r="160" spans="1:15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</sheetData>
  <mergeCells count="10">
    <mergeCell ref="G8:J8"/>
    <mergeCell ref="K8:L8"/>
    <mergeCell ref="A1:F1"/>
    <mergeCell ref="L1:O1"/>
    <mergeCell ref="A2:F2"/>
    <mergeCell ref="A4:O4"/>
    <mergeCell ref="A5:O5"/>
    <mergeCell ref="A6:O6"/>
    <mergeCell ref="A8:F8"/>
    <mergeCell ref="M8:O8"/>
  </mergeCells>
  <pageMargins left="0.7" right="0.7" top="0.75" bottom="0.75" header="0" footer="0"/>
  <pageSetup paperSize="9" fitToHeight="0" orientation="portrait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805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D10" sqref="D10"/>
    </sheetView>
  </sheetViews>
  <sheetFormatPr defaultColWidth="14.453125" defaultRowHeight="15" customHeight="1"/>
  <cols>
    <col min="1" max="1" width="6" customWidth="1"/>
    <col min="2" max="2" width="8.7265625" hidden="1" customWidth="1"/>
    <col min="3" max="3" width="29" customWidth="1"/>
    <col min="4" max="4" width="38.453125" customWidth="1"/>
    <col min="5" max="5" width="10" customWidth="1"/>
    <col min="6" max="6" width="22" hidden="1" customWidth="1"/>
    <col min="7" max="7" width="14" hidden="1" customWidth="1"/>
    <col min="8" max="10" width="13" hidden="1" customWidth="1"/>
    <col min="11" max="13" width="16" hidden="1" customWidth="1"/>
    <col min="14" max="14" width="32" hidden="1" customWidth="1"/>
    <col min="15" max="15" width="20" customWidth="1"/>
    <col min="16" max="26" width="8.7265625" customWidth="1"/>
  </cols>
  <sheetData>
    <row r="1" spans="1:15" ht="14.5">
      <c r="A1" s="87" t="s">
        <v>0</v>
      </c>
      <c r="B1" s="88"/>
      <c r="C1" s="88"/>
      <c r="D1" s="88"/>
      <c r="E1" s="88"/>
      <c r="F1" s="88"/>
      <c r="L1" s="89" t="s">
        <v>1</v>
      </c>
      <c r="M1" s="88"/>
      <c r="N1" s="88"/>
      <c r="O1" s="88"/>
    </row>
    <row r="2" spans="1:15" ht="14.5">
      <c r="A2" s="90" t="s">
        <v>420</v>
      </c>
      <c r="B2" s="88"/>
      <c r="C2" s="88"/>
      <c r="D2" s="88"/>
      <c r="E2" s="88"/>
      <c r="F2" s="88"/>
    </row>
    <row r="3" spans="1:15" ht="14.5" hidden="1"/>
    <row r="4" spans="1:15" ht="27.75" customHeight="1">
      <c r="A4" s="91" t="s">
        <v>534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</row>
    <row r="5" spans="1:15" ht="19.5" customHeight="1">
      <c r="A5" s="92" t="s">
        <v>423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</row>
    <row r="6" spans="1:15" ht="18" hidden="1" customHeight="1">
      <c r="A6" s="93" t="s">
        <v>425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</row>
    <row r="7" spans="1:15" ht="14.5" hidden="1"/>
    <row r="8" spans="1:15" ht="24" hidden="1" customHeight="1">
      <c r="A8" s="110" t="s">
        <v>8</v>
      </c>
      <c r="B8" s="107"/>
      <c r="C8" s="107"/>
      <c r="D8" s="107"/>
      <c r="E8" s="107"/>
      <c r="F8" s="108"/>
      <c r="G8" s="106" t="s">
        <v>11</v>
      </c>
      <c r="H8" s="107"/>
      <c r="I8" s="107"/>
      <c r="J8" s="108"/>
      <c r="K8" s="109" t="s">
        <v>12</v>
      </c>
      <c r="L8" s="108"/>
      <c r="M8" s="111"/>
      <c r="N8" s="107"/>
      <c r="O8" s="108"/>
    </row>
    <row r="9" spans="1:15" ht="27.75" customHeight="1">
      <c r="A9" s="1" t="s">
        <v>13</v>
      </c>
      <c r="B9" s="1" t="s">
        <v>14</v>
      </c>
      <c r="C9" s="1" t="s">
        <v>15</v>
      </c>
      <c r="D9" s="3" t="s">
        <v>16</v>
      </c>
      <c r="E9" s="1" t="s">
        <v>17</v>
      </c>
      <c r="F9" s="1" t="s">
        <v>18</v>
      </c>
      <c r="G9" s="5" t="s">
        <v>19</v>
      </c>
      <c r="H9" s="5" t="s">
        <v>20</v>
      </c>
      <c r="I9" s="5" t="s">
        <v>21</v>
      </c>
      <c r="J9" s="5" t="s">
        <v>22</v>
      </c>
      <c r="K9" s="7" t="s">
        <v>23</v>
      </c>
      <c r="L9" s="7" t="s">
        <v>24</v>
      </c>
      <c r="M9" s="9" t="s">
        <v>25</v>
      </c>
      <c r="N9" s="9" t="s">
        <v>26</v>
      </c>
      <c r="O9" s="9" t="s">
        <v>27</v>
      </c>
    </row>
    <row r="10" spans="1:15" ht="21.75" customHeight="1">
      <c r="A10" s="11">
        <v>1</v>
      </c>
      <c r="B10" s="12">
        <v>2502</v>
      </c>
      <c r="C10" s="14" t="s">
        <v>32</v>
      </c>
      <c r="D10" s="18" t="s">
        <v>33</v>
      </c>
      <c r="E10" s="11" t="s">
        <v>37</v>
      </c>
      <c r="F10" s="20" t="s">
        <v>434</v>
      </c>
      <c r="G10" s="43"/>
      <c r="H10" s="44"/>
      <c r="I10" s="44"/>
      <c r="J10" s="44"/>
      <c r="K10" s="30"/>
      <c r="L10" s="35"/>
      <c r="M10" s="36"/>
      <c r="N10" s="20"/>
      <c r="O10" s="20" t="s">
        <v>41</v>
      </c>
    </row>
    <row r="11" spans="1:15" ht="21.75" customHeight="1">
      <c r="A11" s="16">
        <v>2</v>
      </c>
      <c r="B11" s="12">
        <v>2503</v>
      </c>
      <c r="C11" s="40" t="s">
        <v>42</v>
      </c>
      <c r="D11" s="41" t="s">
        <v>43</v>
      </c>
      <c r="E11" s="16" t="s">
        <v>44</v>
      </c>
      <c r="F11" s="42" t="s">
        <v>434</v>
      </c>
      <c r="G11" s="43">
        <v>8</v>
      </c>
      <c r="H11" s="44">
        <v>55</v>
      </c>
      <c r="I11" s="44">
        <v>42</v>
      </c>
      <c r="J11" s="44">
        <v>2</v>
      </c>
      <c r="K11" s="30"/>
      <c r="L11" s="35" t="str">
        <f t="shared" ref="L11:L28" si="0">IF(ISBLANK(K11),"",K11-G11)</f>
        <v/>
      </c>
      <c r="M11" s="36"/>
      <c r="N11" s="20" t="s">
        <v>48</v>
      </c>
      <c r="O11" s="20" t="s">
        <v>41</v>
      </c>
    </row>
    <row r="12" spans="1:15" ht="21.75" customHeight="1">
      <c r="A12" s="11">
        <v>3</v>
      </c>
      <c r="B12" s="12">
        <v>2504</v>
      </c>
      <c r="C12" s="14" t="s">
        <v>42</v>
      </c>
      <c r="D12" s="18" t="s">
        <v>45</v>
      </c>
      <c r="E12" s="11" t="s">
        <v>44</v>
      </c>
      <c r="F12" s="20" t="s">
        <v>434</v>
      </c>
      <c r="G12" s="23">
        <v>12</v>
      </c>
      <c r="H12" s="27">
        <v>31</v>
      </c>
      <c r="I12" s="27">
        <v>18</v>
      </c>
      <c r="J12" s="27">
        <v>2</v>
      </c>
      <c r="K12" s="30"/>
      <c r="L12" s="35" t="str">
        <f t="shared" si="0"/>
        <v/>
      </c>
      <c r="M12" s="36"/>
      <c r="N12" s="20" t="s">
        <v>48</v>
      </c>
      <c r="O12" s="20" t="s">
        <v>41</v>
      </c>
    </row>
    <row r="13" spans="1:15" ht="21.75" customHeight="1">
      <c r="A13" s="11">
        <v>4</v>
      </c>
      <c r="B13" s="39">
        <v>2023</v>
      </c>
      <c r="C13" s="40" t="s">
        <v>71</v>
      </c>
      <c r="D13" s="41" t="s">
        <v>72</v>
      </c>
      <c r="E13" s="16" t="s">
        <v>37</v>
      </c>
      <c r="F13" s="42" t="s">
        <v>434</v>
      </c>
      <c r="G13" s="43">
        <v>0</v>
      </c>
      <c r="H13" s="44">
        <v>0</v>
      </c>
      <c r="I13" s="44">
        <v>0</v>
      </c>
      <c r="J13" s="44">
        <v>0</v>
      </c>
      <c r="K13" s="30"/>
      <c r="L13" s="35" t="str">
        <f t="shared" si="0"/>
        <v/>
      </c>
      <c r="M13" s="36"/>
      <c r="N13" s="20" t="s">
        <v>48</v>
      </c>
      <c r="O13" s="20" t="s">
        <v>41</v>
      </c>
    </row>
    <row r="14" spans="1:15" ht="21.75" customHeight="1">
      <c r="A14" s="16">
        <v>5</v>
      </c>
      <c r="B14" s="12">
        <v>2024</v>
      </c>
      <c r="C14" s="14" t="s">
        <v>78</v>
      </c>
      <c r="D14" s="18" t="s">
        <v>79</v>
      </c>
      <c r="E14" s="11" t="s">
        <v>37</v>
      </c>
      <c r="F14" s="20" t="s">
        <v>434</v>
      </c>
      <c r="G14" s="23">
        <v>0</v>
      </c>
      <c r="H14" s="27">
        <v>0</v>
      </c>
      <c r="I14" s="27">
        <v>0</v>
      </c>
      <c r="J14" s="27">
        <v>0</v>
      </c>
      <c r="K14" s="30"/>
      <c r="L14" s="35" t="str">
        <f t="shared" si="0"/>
        <v/>
      </c>
      <c r="M14" s="36"/>
      <c r="N14" s="20" t="s">
        <v>48</v>
      </c>
      <c r="O14" s="20" t="s">
        <v>41</v>
      </c>
    </row>
    <row r="15" spans="1:15" ht="21.75" customHeight="1">
      <c r="A15" s="11">
        <v>6</v>
      </c>
      <c r="B15" s="39">
        <v>2025</v>
      </c>
      <c r="C15" s="40" t="s">
        <v>78</v>
      </c>
      <c r="D15" s="41" t="s">
        <v>87</v>
      </c>
      <c r="E15" s="16" t="s">
        <v>37</v>
      </c>
      <c r="F15" s="42" t="s">
        <v>434</v>
      </c>
      <c r="G15" s="43">
        <v>0</v>
      </c>
      <c r="H15" s="44">
        <v>0</v>
      </c>
      <c r="I15" s="44">
        <v>0</v>
      </c>
      <c r="J15" s="44">
        <v>0</v>
      </c>
      <c r="K15" s="30"/>
      <c r="L15" s="35" t="str">
        <f t="shared" si="0"/>
        <v/>
      </c>
      <c r="M15" s="36"/>
      <c r="N15" s="20" t="s">
        <v>48</v>
      </c>
      <c r="O15" s="20" t="s">
        <v>41</v>
      </c>
    </row>
    <row r="16" spans="1:15" ht="21.75" customHeight="1">
      <c r="A16" s="11">
        <v>7</v>
      </c>
      <c r="B16" s="12">
        <v>2026</v>
      </c>
      <c r="C16" s="14" t="s">
        <v>78</v>
      </c>
      <c r="D16" s="18" t="s">
        <v>93</v>
      </c>
      <c r="E16" s="11" t="s">
        <v>37</v>
      </c>
      <c r="F16" s="20" t="s">
        <v>434</v>
      </c>
      <c r="G16" s="23">
        <v>0</v>
      </c>
      <c r="H16" s="27">
        <v>0</v>
      </c>
      <c r="I16" s="27">
        <v>0</v>
      </c>
      <c r="J16" s="27">
        <v>0</v>
      </c>
      <c r="K16" s="30"/>
      <c r="L16" s="35" t="str">
        <f t="shared" si="0"/>
        <v/>
      </c>
      <c r="M16" s="36"/>
      <c r="N16" s="20" t="s">
        <v>48</v>
      </c>
      <c r="O16" s="20" t="s">
        <v>41</v>
      </c>
    </row>
    <row r="17" spans="1:15" ht="21.75" customHeight="1">
      <c r="A17" s="16">
        <v>8</v>
      </c>
      <c r="B17" s="39">
        <v>2027</v>
      </c>
      <c r="C17" s="40" t="s">
        <v>78</v>
      </c>
      <c r="D17" s="41" t="s">
        <v>98</v>
      </c>
      <c r="E17" s="16" t="s">
        <v>37</v>
      </c>
      <c r="F17" s="42" t="s">
        <v>434</v>
      </c>
      <c r="G17" s="43">
        <v>0</v>
      </c>
      <c r="H17" s="44">
        <v>0</v>
      </c>
      <c r="I17" s="44">
        <v>0</v>
      </c>
      <c r="J17" s="44">
        <v>0</v>
      </c>
      <c r="K17" s="30"/>
      <c r="L17" s="35" t="str">
        <f t="shared" si="0"/>
        <v/>
      </c>
      <c r="M17" s="36"/>
      <c r="N17" s="20" t="s">
        <v>48</v>
      </c>
      <c r="O17" s="20" t="s">
        <v>41</v>
      </c>
    </row>
    <row r="18" spans="1:15" ht="21.75" customHeight="1">
      <c r="A18" s="11">
        <v>9</v>
      </c>
      <c r="B18" s="12">
        <v>2028</v>
      </c>
      <c r="C18" s="14" t="s">
        <v>78</v>
      </c>
      <c r="D18" s="18" t="s">
        <v>104</v>
      </c>
      <c r="E18" s="11" t="s">
        <v>37</v>
      </c>
      <c r="F18" s="20" t="s">
        <v>434</v>
      </c>
      <c r="G18" s="23">
        <v>0</v>
      </c>
      <c r="H18" s="27">
        <v>0</v>
      </c>
      <c r="I18" s="27">
        <v>0</v>
      </c>
      <c r="J18" s="27">
        <v>0</v>
      </c>
      <c r="K18" s="30"/>
      <c r="L18" s="35" t="str">
        <f t="shared" si="0"/>
        <v/>
      </c>
      <c r="M18" s="36"/>
      <c r="N18" s="20" t="s">
        <v>48</v>
      </c>
      <c r="O18" s="20" t="s">
        <v>41</v>
      </c>
    </row>
    <row r="19" spans="1:15" ht="21.75" customHeight="1">
      <c r="A19" s="11">
        <v>10</v>
      </c>
      <c r="B19" s="39">
        <v>2029</v>
      </c>
      <c r="C19" s="40" t="s">
        <v>78</v>
      </c>
      <c r="D19" s="41" t="s">
        <v>108</v>
      </c>
      <c r="E19" s="16" t="s">
        <v>37</v>
      </c>
      <c r="F19" s="42" t="s">
        <v>434</v>
      </c>
      <c r="G19" s="43">
        <v>0</v>
      </c>
      <c r="H19" s="44">
        <v>0</v>
      </c>
      <c r="I19" s="44">
        <v>0</v>
      </c>
      <c r="J19" s="44">
        <v>0</v>
      </c>
      <c r="K19" s="30"/>
      <c r="L19" s="35" t="str">
        <f t="shared" si="0"/>
        <v/>
      </c>
      <c r="M19" s="36"/>
      <c r="N19" s="20" t="s">
        <v>48</v>
      </c>
      <c r="O19" s="20" t="s">
        <v>41</v>
      </c>
    </row>
    <row r="20" spans="1:15" ht="21.75" customHeight="1">
      <c r="A20" s="16">
        <v>11</v>
      </c>
      <c r="B20" s="12">
        <v>2030</v>
      </c>
      <c r="C20" s="14" t="s">
        <v>78</v>
      </c>
      <c r="D20" s="18" t="s">
        <v>115</v>
      </c>
      <c r="E20" s="11" t="s">
        <v>37</v>
      </c>
      <c r="F20" s="20" t="s">
        <v>434</v>
      </c>
      <c r="G20" s="23">
        <v>0</v>
      </c>
      <c r="H20" s="27">
        <v>0</v>
      </c>
      <c r="I20" s="27">
        <v>0</v>
      </c>
      <c r="J20" s="27">
        <v>0</v>
      </c>
      <c r="K20" s="30"/>
      <c r="L20" s="35" t="str">
        <f t="shared" si="0"/>
        <v/>
      </c>
      <c r="M20" s="36"/>
      <c r="N20" s="20" t="s">
        <v>48</v>
      </c>
      <c r="O20" s="20" t="s">
        <v>41</v>
      </c>
    </row>
    <row r="21" spans="1:15" ht="21.75" customHeight="1">
      <c r="A21" s="11">
        <v>12</v>
      </c>
      <c r="B21" s="39">
        <v>2031</v>
      </c>
      <c r="C21" s="40" t="s">
        <v>78</v>
      </c>
      <c r="D21" s="41" t="s">
        <v>123</v>
      </c>
      <c r="E21" s="16" t="s">
        <v>37</v>
      </c>
      <c r="F21" s="42" t="s">
        <v>434</v>
      </c>
      <c r="G21" s="43">
        <v>0</v>
      </c>
      <c r="H21" s="44">
        <v>0</v>
      </c>
      <c r="I21" s="44">
        <v>0</v>
      </c>
      <c r="J21" s="44">
        <v>0</v>
      </c>
      <c r="K21" s="30"/>
      <c r="L21" s="35" t="str">
        <f t="shared" si="0"/>
        <v/>
      </c>
      <c r="M21" s="36"/>
      <c r="N21" s="20" t="s">
        <v>48</v>
      </c>
      <c r="O21" s="20" t="s">
        <v>41</v>
      </c>
    </row>
    <row r="22" spans="1:15" ht="21.75" customHeight="1">
      <c r="A22" s="11">
        <v>13</v>
      </c>
      <c r="B22" s="12">
        <v>2032</v>
      </c>
      <c r="C22" s="14" t="s">
        <v>78</v>
      </c>
      <c r="D22" s="18" t="s">
        <v>129</v>
      </c>
      <c r="E22" s="11" t="s">
        <v>37</v>
      </c>
      <c r="F22" s="20" t="s">
        <v>434</v>
      </c>
      <c r="G22" s="23">
        <v>0</v>
      </c>
      <c r="H22" s="27">
        <v>0</v>
      </c>
      <c r="I22" s="27">
        <v>0</v>
      </c>
      <c r="J22" s="27">
        <v>0</v>
      </c>
      <c r="K22" s="30"/>
      <c r="L22" s="35" t="str">
        <f t="shared" si="0"/>
        <v/>
      </c>
      <c r="M22" s="36"/>
      <c r="N22" s="20" t="s">
        <v>48</v>
      </c>
      <c r="O22" s="20" t="s">
        <v>41</v>
      </c>
    </row>
    <row r="23" spans="1:15" ht="21.75" customHeight="1">
      <c r="A23" s="16">
        <v>14</v>
      </c>
      <c r="B23" s="39">
        <v>2033</v>
      </c>
      <c r="C23" s="40" t="s">
        <v>78</v>
      </c>
      <c r="D23" s="41" t="s">
        <v>133</v>
      </c>
      <c r="E23" s="16" t="s">
        <v>37</v>
      </c>
      <c r="F23" s="42" t="s">
        <v>434</v>
      </c>
      <c r="G23" s="43">
        <v>0</v>
      </c>
      <c r="H23" s="44">
        <v>0</v>
      </c>
      <c r="I23" s="44">
        <v>0</v>
      </c>
      <c r="J23" s="44">
        <v>0</v>
      </c>
      <c r="K23" s="30"/>
      <c r="L23" s="35" t="str">
        <f t="shared" si="0"/>
        <v/>
      </c>
      <c r="M23" s="36"/>
      <c r="N23" s="20" t="s">
        <v>48</v>
      </c>
      <c r="O23" s="20" t="s">
        <v>41</v>
      </c>
    </row>
    <row r="24" spans="1:15" ht="21.75" customHeight="1">
      <c r="A24" s="11">
        <v>15</v>
      </c>
      <c r="B24" s="12">
        <v>2034</v>
      </c>
      <c r="C24" s="14" t="s">
        <v>78</v>
      </c>
      <c r="D24" s="18" t="s">
        <v>140</v>
      </c>
      <c r="E24" s="11" t="s">
        <v>37</v>
      </c>
      <c r="F24" s="20" t="s">
        <v>434</v>
      </c>
      <c r="G24" s="23">
        <v>0</v>
      </c>
      <c r="H24" s="27">
        <v>0</v>
      </c>
      <c r="I24" s="27">
        <v>0</v>
      </c>
      <c r="J24" s="27">
        <v>0</v>
      </c>
      <c r="K24" s="30"/>
      <c r="L24" s="35" t="str">
        <f t="shared" si="0"/>
        <v/>
      </c>
      <c r="M24" s="36"/>
      <c r="N24" s="20" t="s">
        <v>48</v>
      </c>
      <c r="O24" s="20" t="s">
        <v>41</v>
      </c>
    </row>
    <row r="25" spans="1:15" ht="21.75" customHeight="1">
      <c r="A25" s="11">
        <v>16</v>
      </c>
      <c r="B25" s="39">
        <v>2035</v>
      </c>
      <c r="C25" s="40" t="s">
        <v>78</v>
      </c>
      <c r="D25" s="41" t="s">
        <v>144</v>
      </c>
      <c r="E25" s="16" t="s">
        <v>37</v>
      </c>
      <c r="F25" s="42" t="s">
        <v>434</v>
      </c>
      <c r="G25" s="43">
        <v>0</v>
      </c>
      <c r="H25" s="44">
        <v>0</v>
      </c>
      <c r="I25" s="44">
        <v>0</v>
      </c>
      <c r="J25" s="44">
        <v>0</v>
      </c>
      <c r="K25" s="30"/>
      <c r="L25" s="35" t="str">
        <f t="shared" si="0"/>
        <v/>
      </c>
      <c r="M25" s="36"/>
      <c r="N25" s="20" t="s">
        <v>48</v>
      </c>
      <c r="O25" s="20" t="s">
        <v>41</v>
      </c>
    </row>
    <row r="26" spans="1:15" ht="21.75" customHeight="1">
      <c r="A26" s="16">
        <v>17</v>
      </c>
      <c r="B26" s="12">
        <v>2036</v>
      </c>
      <c r="C26" s="14" t="s">
        <v>149</v>
      </c>
      <c r="D26" s="18" t="s">
        <v>151</v>
      </c>
      <c r="E26" s="11" t="s">
        <v>37</v>
      </c>
      <c r="F26" s="20" t="s">
        <v>434</v>
      </c>
      <c r="G26" s="23">
        <v>0</v>
      </c>
      <c r="H26" s="27">
        <v>0</v>
      </c>
      <c r="I26" s="27">
        <v>0</v>
      </c>
      <c r="J26" s="27">
        <v>0</v>
      </c>
      <c r="K26" s="30"/>
      <c r="L26" s="35" t="str">
        <f t="shared" si="0"/>
        <v/>
      </c>
      <c r="M26" s="36"/>
      <c r="N26" s="20" t="s">
        <v>48</v>
      </c>
      <c r="O26" s="20" t="s">
        <v>41</v>
      </c>
    </row>
    <row r="27" spans="1:15" ht="21.75" customHeight="1">
      <c r="A27" s="11">
        <v>18</v>
      </c>
      <c r="B27" s="39">
        <v>2039</v>
      </c>
      <c r="C27" s="40" t="s">
        <v>158</v>
      </c>
      <c r="D27" s="41" t="s">
        <v>160</v>
      </c>
      <c r="E27" s="16" t="s">
        <v>37</v>
      </c>
      <c r="F27" s="42" t="s">
        <v>434</v>
      </c>
      <c r="G27" s="43">
        <v>0</v>
      </c>
      <c r="H27" s="44">
        <v>0</v>
      </c>
      <c r="I27" s="44">
        <v>0</v>
      </c>
      <c r="J27" s="44">
        <v>0</v>
      </c>
      <c r="K27" s="30"/>
      <c r="L27" s="35" t="str">
        <f t="shared" si="0"/>
        <v/>
      </c>
      <c r="M27" s="36"/>
      <c r="N27" s="20" t="s">
        <v>48</v>
      </c>
      <c r="O27" s="20" t="s">
        <v>41</v>
      </c>
    </row>
    <row r="28" spans="1:15" ht="21.75" customHeight="1">
      <c r="A28" s="11">
        <v>19</v>
      </c>
      <c r="B28" s="12">
        <v>2040</v>
      </c>
      <c r="C28" s="14" t="s">
        <v>158</v>
      </c>
      <c r="D28" s="18" t="s">
        <v>167</v>
      </c>
      <c r="E28" s="11" t="s">
        <v>37</v>
      </c>
      <c r="F28" s="20" t="s">
        <v>434</v>
      </c>
      <c r="G28" s="23">
        <v>0</v>
      </c>
      <c r="H28" s="27">
        <v>0</v>
      </c>
      <c r="I28" s="27">
        <v>0</v>
      </c>
      <c r="J28" s="27">
        <v>0</v>
      </c>
      <c r="K28" s="30"/>
      <c r="L28" s="35" t="str">
        <f t="shared" si="0"/>
        <v/>
      </c>
      <c r="M28" s="36"/>
      <c r="N28" s="20" t="s">
        <v>48</v>
      </c>
      <c r="O28" s="20" t="s">
        <v>41</v>
      </c>
    </row>
    <row r="29" spans="1:15" ht="15.75" customHeight="1">
      <c r="A29" s="16">
        <v>20</v>
      </c>
      <c r="B29" s="12"/>
      <c r="C29" s="14" t="s">
        <v>170</v>
      </c>
      <c r="D29" s="18" t="s">
        <v>171</v>
      </c>
      <c r="E29" s="11" t="s">
        <v>37</v>
      </c>
      <c r="F29" s="20"/>
      <c r="G29" s="23"/>
      <c r="H29" s="27"/>
      <c r="I29" s="27"/>
      <c r="J29" s="27"/>
      <c r="K29" s="30"/>
      <c r="L29" s="35"/>
      <c r="M29" s="36"/>
      <c r="N29" s="20"/>
      <c r="O29" s="20" t="s">
        <v>41</v>
      </c>
    </row>
    <row r="30" spans="1:15" ht="15.75" customHeight="1">
      <c r="A30" s="11">
        <v>21</v>
      </c>
      <c r="B30" s="12"/>
      <c r="C30" s="14" t="s">
        <v>176</v>
      </c>
      <c r="D30" s="18" t="s">
        <v>177</v>
      </c>
      <c r="E30" s="11" t="s">
        <v>37</v>
      </c>
      <c r="F30" s="20"/>
      <c r="G30" s="23"/>
      <c r="H30" s="27"/>
      <c r="I30" s="27"/>
      <c r="J30" s="27"/>
      <c r="K30" s="30"/>
      <c r="L30" s="35"/>
      <c r="M30" s="36"/>
      <c r="N30" s="20"/>
      <c r="O30" s="20" t="s">
        <v>41</v>
      </c>
    </row>
    <row r="31" spans="1:15" ht="15.75" customHeight="1">
      <c r="A31" s="11">
        <v>22</v>
      </c>
      <c r="B31" s="12"/>
      <c r="C31" s="14" t="s">
        <v>182</v>
      </c>
      <c r="D31" s="18" t="s">
        <v>183</v>
      </c>
      <c r="E31" s="11" t="s">
        <v>37</v>
      </c>
      <c r="F31" s="20"/>
      <c r="G31" s="23"/>
      <c r="H31" s="27"/>
      <c r="I31" s="27"/>
      <c r="J31" s="27"/>
      <c r="K31" s="30"/>
      <c r="L31" s="35"/>
      <c r="M31" s="36"/>
      <c r="N31" s="20"/>
      <c r="O31" s="20" t="s">
        <v>41</v>
      </c>
    </row>
    <row r="32" spans="1:15" ht="15.75" customHeight="1">
      <c r="A32" s="16">
        <v>23</v>
      </c>
      <c r="B32" s="12"/>
      <c r="C32" s="14" t="s">
        <v>186</v>
      </c>
      <c r="D32" s="18" t="s">
        <v>187</v>
      </c>
      <c r="E32" s="11" t="s">
        <v>37</v>
      </c>
      <c r="F32" s="20"/>
      <c r="G32" s="23"/>
      <c r="H32" s="27"/>
      <c r="I32" s="27"/>
      <c r="J32" s="27"/>
      <c r="K32" s="30"/>
      <c r="L32" s="35"/>
      <c r="M32" s="36"/>
      <c r="N32" s="20"/>
      <c r="O32" s="20" t="s">
        <v>41</v>
      </c>
    </row>
    <row r="33" spans="1:15" ht="15.75" customHeight="1">
      <c r="A33" s="11">
        <v>24</v>
      </c>
      <c r="B33" s="12"/>
      <c r="C33" s="14" t="s">
        <v>128</v>
      </c>
      <c r="D33" s="18" t="s">
        <v>189</v>
      </c>
      <c r="E33" s="11" t="s">
        <v>37</v>
      </c>
      <c r="F33" s="20"/>
      <c r="G33" s="23"/>
      <c r="H33" s="27"/>
      <c r="I33" s="27"/>
      <c r="J33" s="27"/>
      <c r="K33" s="30"/>
      <c r="L33" s="35"/>
      <c r="M33" s="36"/>
      <c r="N33" s="20"/>
      <c r="O33" s="20" t="s">
        <v>41</v>
      </c>
    </row>
    <row r="34" spans="1:15" ht="15.75" customHeight="1">
      <c r="A34" s="11">
        <v>25</v>
      </c>
      <c r="B34" s="12"/>
      <c r="C34" s="14" t="s">
        <v>191</v>
      </c>
      <c r="D34" s="18" t="s">
        <v>192</v>
      </c>
      <c r="E34" s="11" t="s">
        <v>37</v>
      </c>
      <c r="F34" s="20"/>
      <c r="G34" s="23"/>
      <c r="H34" s="27"/>
      <c r="I34" s="27"/>
      <c r="J34" s="27"/>
      <c r="K34" s="30"/>
      <c r="L34" s="35"/>
      <c r="M34" s="36"/>
      <c r="N34" s="20"/>
      <c r="O34" s="20" t="s">
        <v>41</v>
      </c>
    </row>
    <row r="35" spans="1:15" ht="15.75" customHeight="1"/>
    <row r="36" spans="1:15" ht="15.75" customHeight="1"/>
    <row r="37" spans="1:15" ht="15.75" customHeight="1"/>
    <row r="38" spans="1:15" ht="15.75" customHeight="1"/>
    <row r="39" spans="1:15" ht="15.75" customHeight="1"/>
    <row r="40" spans="1:15" ht="15.75" customHeight="1"/>
    <row r="41" spans="1:15" ht="15.75" customHeight="1"/>
    <row r="42" spans="1:15" ht="15.75" customHeight="1"/>
    <row r="43" spans="1:15" ht="15.75" customHeight="1"/>
    <row r="44" spans="1:15" ht="15.75" customHeight="1"/>
    <row r="45" spans="1:15" ht="15.75" customHeight="1"/>
    <row r="46" spans="1:15" ht="15.75" customHeight="1"/>
    <row r="47" spans="1:15" ht="15.75" customHeight="1"/>
    <row r="48" spans="1:1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</sheetData>
  <mergeCells count="10">
    <mergeCell ref="G8:J8"/>
    <mergeCell ref="K8:L8"/>
    <mergeCell ref="A1:F1"/>
    <mergeCell ref="L1:O1"/>
    <mergeCell ref="A2:F2"/>
    <mergeCell ref="A4:O4"/>
    <mergeCell ref="A5:O5"/>
    <mergeCell ref="A6:O6"/>
    <mergeCell ref="A8:F8"/>
    <mergeCell ref="M8:O8"/>
  </mergeCells>
  <pageMargins left="0.7" right="0.7" top="0.75" bottom="0.75" header="0" footer="0"/>
  <pageSetup paperSize="9" fitToHeight="0"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94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D10" sqref="D10"/>
    </sheetView>
  </sheetViews>
  <sheetFormatPr defaultColWidth="14.453125" defaultRowHeight="15" customHeight="1"/>
  <cols>
    <col min="1" max="1" width="6" customWidth="1"/>
    <col min="2" max="2" width="8.7265625" hidden="1" customWidth="1"/>
    <col min="3" max="3" width="36" customWidth="1"/>
    <col min="4" max="4" width="38.81640625" customWidth="1"/>
    <col min="5" max="5" width="13.08984375" customWidth="1"/>
    <col min="6" max="6" width="22" hidden="1" customWidth="1"/>
    <col min="7" max="7" width="14" hidden="1" customWidth="1"/>
    <col min="8" max="10" width="13" hidden="1" customWidth="1"/>
    <col min="11" max="13" width="16" hidden="1" customWidth="1"/>
    <col min="14" max="14" width="32" hidden="1" customWidth="1"/>
    <col min="15" max="15" width="12.453125" customWidth="1"/>
    <col min="16" max="26" width="8.7265625" customWidth="1"/>
  </cols>
  <sheetData>
    <row r="1" spans="1:15" ht="14.5">
      <c r="A1" s="87" t="s">
        <v>0</v>
      </c>
      <c r="B1" s="88"/>
      <c r="C1" s="88"/>
      <c r="D1" s="88"/>
      <c r="E1" s="88"/>
      <c r="F1" s="88"/>
      <c r="L1" s="89" t="s">
        <v>1</v>
      </c>
      <c r="M1" s="88"/>
      <c r="N1" s="88"/>
      <c r="O1" s="88"/>
    </row>
    <row r="2" spans="1:15" ht="14.5">
      <c r="A2" s="90" t="s">
        <v>544</v>
      </c>
      <c r="B2" s="88"/>
      <c r="C2" s="88"/>
      <c r="D2" s="88"/>
      <c r="E2" s="88"/>
      <c r="F2" s="88"/>
    </row>
    <row r="3" spans="1:15" ht="14.5" hidden="1"/>
    <row r="4" spans="1:15" ht="27.75" customHeight="1">
      <c r="A4" s="91" t="s">
        <v>3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</row>
    <row r="5" spans="1:15" ht="19.5" customHeight="1">
      <c r="A5" s="92" t="s">
        <v>545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</row>
    <row r="6" spans="1:15" ht="18" hidden="1" customHeight="1">
      <c r="A6" s="93" t="s">
        <v>546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</row>
    <row r="7" spans="1:15" ht="14.5" hidden="1"/>
    <row r="8" spans="1:15" ht="24" hidden="1" customHeight="1">
      <c r="A8" s="94" t="s">
        <v>8</v>
      </c>
      <c r="B8" s="95"/>
      <c r="C8" s="95"/>
      <c r="D8" s="95"/>
      <c r="E8" s="95"/>
      <c r="F8" s="96"/>
      <c r="G8" s="100" t="s">
        <v>11</v>
      </c>
      <c r="H8" s="95"/>
      <c r="I8" s="95"/>
      <c r="J8" s="96"/>
      <c r="K8" s="101" t="s">
        <v>12</v>
      </c>
      <c r="L8" s="96"/>
      <c r="M8" s="97"/>
      <c r="N8" s="95"/>
      <c r="O8" s="96"/>
    </row>
    <row r="9" spans="1:15" ht="27.75" customHeight="1">
      <c r="A9" s="2" t="s">
        <v>13</v>
      </c>
      <c r="B9" s="2" t="s">
        <v>14</v>
      </c>
      <c r="C9" s="2" t="s">
        <v>15</v>
      </c>
      <c r="D9" s="4" t="s">
        <v>16</v>
      </c>
      <c r="E9" s="2" t="s">
        <v>17</v>
      </c>
      <c r="F9" s="2" t="s">
        <v>18</v>
      </c>
      <c r="G9" s="6" t="s">
        <v>19</v>
      </c>
      <c r="H9" s="6" t="s">
        <v>20</v>
      </c>
      <c r="I9" s="6" t="s">
        <v>21</v>
      </c>
      <c r="J9" s="6" t="s">
        <v>22</v>
      </c>
      <c r="K9" s="8" t="s">
        <v>23</v>
      </c>
      <c r="L9" s="8" t="s">
        <v>24</v>
      </c>
      <c r="M9" s="10" t="s">
        <v>25</v>
      </c>
      <c r="N9" s="10" t="s">
        <v>26</v>
      </c>
      <c r="O9" s="10" t="s">
        <v>27</v>
      </c>
    </row>
    <row r="10" spans="1:15" ht="21.75" customHeight="1">
      <c r="A10" s="53">
        <v>1</v>
      </c>
      <c r="B10" s="54">
        <v>2214</v>
      </c>
      <c r="C10" s="55" t="s">
        <v>550</v>
      </c>
      <c r="D10" s="56" t="s">
        <v>551</v>
      </c>
      <c r="E10" s="57" t="s">
        <v>552</v>
      </c>
      <c r="F10" s="29" t="s">
        <v>553</v>
      </c>
      <c r="G10" s="33">
        <v>0</v>
      </c>
      <c r="H10" s="34">
        <v>9</v>
      </c>
      <c r="I10" s="34">
        <v>0</v>
      </c>
      <c r="J10" s="34">
        <v>0</v>
      </c>
      <c r="K10" s="32"/>
      <c r="L10" s="37" t="str">
        <f t="shared" ref="L10:L27" si="0">IF(ISBLANK(K10),"",K10-G10)</f>
        <v/>
      </c>
      <c r="M10" s="38"/>
      <c r="N10" s="29" t="s">
        <v>48</v>
      </c>
      <c r="O10" s="29" t="s">
        <v>48</v>
      </c>
    </row>
    <row r="11" spans="1:15" ht="21.75" customHeight="1">
      <c r="A11" s="57">
        <v>2</v>
      </c>
      <c r="B11" s="67">
        <v>2216</v>
      </c>
      <c r="C11" s="55" t="s">
        <v>557</v>
      </c>
      <c r="D11" s="56" t="s">
        <v>551</v>
      </c>
      <c r="E11" s="57" t="s">
        <v>552</v>
      </c>
      <c r="F11" s="26" t="s">
        <v>553</v>
      </c>
      <c r="G11" s="28">
        <v>0</v>
      </c>
      <c r="H11" s="31">
        <v>9</v>
      </c>
      <c r="I11" s="31">
        <v>0</v>
      </c>
      <c r="J11" s="31">
        <v>0</v>
      </c>
      <c r="K11" s="32"/>
      <c r="L11" s="37" t="str">
        <f t="shared" si="0"/>
        <v/>
      </c>
      <c r="M11" s="38"/>
      <c r="N11" s="29" t="s">
        <v>48</v>
      </c>
      <c r="O11" s="29" t="s">
        <v>48</v>
      </c>
    </row>
    <row r="12" spans="1:15" ht="21.75" customHeight="1">
      <c r="A12" s="53">
        <v>3</v>
      </c>
      <c r="B12" s="54">
        <v>2202</v>
      </c>
      <c r="C12" s="55" t="s">
        <v>559</v>
      </c>
      <c r="D12" s="56" t="s">
        <v>560</v>
      </c>
      <c r="E12" s="57" t="s">
        <v>552</v>
      </c>
      <c r="F12" s="29" t="s">
        <v>553</v>
      </c>
      <c r="G12" s="33">
        <v>0</v>
      </c>
      <c r="H12" s="34">
        <v>0</v>
      </c>
      <c r="I12" s="34">
        <v>0</v>
      </c>
      <c r="J12" s="34">
        <v>0</v>
      </c>
      <c r="K12" s="32"/>
      <c r="L12" s="37" t="str">
        <f t="shared" si="0"/>
        <v/>
      </c>
      <c r="M12" s="38"/>
      <c r="N12" s="29" t="s">
        <v>48</v>
      </c>
      <c r="O12" s="29" t="s">
        <v>48</v>
      </c>
    </row>
    <row r="13" spans="1:15" ht="21.75" customHeight="1">
      <c r="A13" s="57">
        <v>4</v>
      </c>
      <c r="B13" s="67">
        <v>2208</v>
      </c>
      <c r="C13" s="55" t="s">
        <v>561</v>
      </c>
      <c r="D13" s="56" t="s">
        <v>562</v>
      </c>
      <c r="E13" s="57" t="s">
        <v>111</v>
      </c>
      <c r="F13" s="26" t="s">
        <v>553</v>
      </c>
      <c r="G13" s="28">
        <v>0</v>
      </c>
      <c r="H13" s="31">
        <v>0</v>
      </c>
      <c r="I13" s="31">
        <v>0</v>
      </c>
      <c r="J13" s="31">
        <v>0</v>
      </c>
      <c r="K13" s="32"/>
      <c r="L13" s="37" t="str">
        <f t="shared" si="0"/>
        <v/>
      </c>
      <c r="M13" s="38"/>
      <c r="N13" s="29" t="s">
        <v>48</v>
      </c>
      <c r="O13" s="29" t="s">
        <v>48</v>
      </c>
    </row>
    <row r="14" spans="1:15" ht="21.75" customHeight="1">
      <c r="A14" s="53">
        <v>5</v>
      </c>
      <c r="B14" s="54">
        <v>2219</v>
      </c>
      <c r="C14" s="55" t="s">
        <v>561</v>
      </c>
      <c r="D14" s="56" t="s">
        <v>566</v>
      </c>
      <c r="E14" s="57" t="s">
        <v>111</v>
      </c>
      <c r="F14" s="29" t="s">
        <v>553</v>
      </c>
      <c r="G14" s="33">
        <v>0</v>
      </c>
      <c r="H14" s="34">
        <v>0</v>
      </c>
      <c r="I14" s="34">
        <v>0</v>
      </c>
      <c r="J14" s="34">
        <v>0</v>
      </c>
      <c r="K14" s="32"/>
      <c r="L14" s="37" t="str">
        <f t="shared" si="0"/>
        <v/>
      </c>
      <c r="M14" s="38"/>
      <c r="N14" s="29" t="s">
        <v>48</v>
      </c>
      <c r="O14" s="29" t="s">
        <v>48</v>
      </c>
    </row>
    <row r="15" spans="1:15" ht="21.75" customHeight="1">
      <c r="A15" s="57">
        <v>6</v>
      </c>
      <c r="B15" s="67">
        <v>2221</v>
      </c>
      <c r="C15" s="55" t="s">
        <v>561</v>
      </c>
      <c r="D15" s="56" t="s">
        <v>569</v>
      </c>
      <c r="E15" s="57" t="s">
        <v>111</v>
      </c>
      <c r="F15" s="26" t="s">
        <v>553</v>
      </c>
      <c r="G15" s="28">
        <v>0</v>
      </c>
      <c r="H15" s="31">
        <v>0</v>
      </c>
      <c r="I15" s="31">
        <v>0</v>
      </c>
      <c r="J15" s="31">
        <v>0</v>
      </c>
      <c r="K15" s="32"/>
      <c r="L15" s="37" t="str">
        <f t="shared" si="0"/>
        <v/>
      </c>
      <c r="M15" s="38"/>
      <c r="N15" s="29" t="s">
        <v>48</v>
      </c>
      <c r="O15" s="29" t="s">
        <v>48</v>
      </c>
    </row>
    <row r="16" spans="1:15" ht="21.75" customHeight="1">
      <c r="A16" s="53">
        <v>7</v>
      </c>
      <c r="B16" s="54">
        <v>2218</v>
      </c>
      <c r="C16" s="55" t="s">
        <v>572</v>
      </c>
      <c r="D16" s="56" t="s">
        <v>573</v>
      </c>
      <c r="E16" s="57" t="s">
        <v>37</v>
      </c>
      <c r="F16" s="29" t="s">
        <v>553</v>
      </c>
      <c r="G16" s="33">
        <v>0</v>
      </c>
      <c r="H16" s="34">
        <v>0</v>
      </c>
      <c r="I16" s="34">
        <v>0</v>
      </c>
      <c r="J16" s="34">
        <v>0</v>
      </c>
      <c r="K16" s="32"/>
      <c r="L16" s="37" t="str">
        <f t="shared" si="0"/>
        <v/>
      </c>
      <c r="M16" s="38"/>
      <c r="N16" s="29" t="s">
        <v>48</v>
      </c>
      <c r="O16" s="29" t="s">
        <v>48</v>
      </c>
    </row>
    <row r="17" spans="1:15" ht="21.75" customHeight="1">
      <c r="A17" s="57">
        <v>8</v>
      </c>
      <c r="B17" s="67">
        <v>2197</v>
      </c>
      <c r="C17" s="55" t="s">
        <v>572</v>
      </c>
      <c r="D17" s="56" t="s">
        <v>578</v>
      </c>
      <c r="E17" s="57" t="s">
        <v>37</v>
      </c>
      <c r="F17" s="26" t="s">
        <v>553</v>
      </c>
      <c r="G17" s="28">
        <v>0</v>
      </c>
      <c r="H17" s="31">
        <v>0</v>
      </c>
      <c r="I17" s="31">
        <v>0</v>
      </c>
      <c r="J17" s="31">
        <v>0</v>
      </c>
      <c r="K17" s="32"/>
      <c r="L17" s="37" t="str">
        <f t="shared" si="0"/>
        <v/>
      </c>
      <c r="M17" s="38"/>
      <c r="N17" s="29" t="s">
        <v>48</v>
      </c>
      <c r="O17" s="29" t="s">
        <v>48</v>
      </c>
    </row>
    <row r="18" spans="1:15" ht="21.75" customHeight="1">
      <c r="A18" s="53">
        <v>9</v>
      </c>
      <c r="B18" s="54">
        <v>2196</v>
      </c>
      <c r="C18" s="55" t="s">
        <v>572</v>
      </c>
      <c r="D18" s="56" t="s">
        <v>581</v>
      </c>
      <c r="E18" s="57" t="s">
        <v>37</v>
      </c>
      <c r="F18" s="29" t="s">
        <v>553</v>
      </c>
      <c r="G18" s="33">
        <v>0</v>
      </c>
      <c r="H18" s="34">
        <v>0</v>
      </c>
      <c r="I18" s="34">
        <v>0</v>
      </c>
      <c r="J18" s="34">
        <v>0</v>
      </c>
      <c r="K18" s="32"/>
      <c r="L18" s="37" t="str">
        <f t="shared" si="0"/>
        <v/>
      </c>
      <c r="M18" s="38"/>
      <c r="N18" s="29" t="s">
        <v>48</v>
      </c>
      <c r="O18" s="29" t="s">
        <v>48</v>
      </c>
    </row>
    <row r="19" spans="1:15" ht="21.75" customHeight="1">
      <c r="A19" s="57">
        <v>10</v>
      </c>
      <c r="B19" s="67">
        <v>2200</v>
      </c>
      <c r="C19" s="55" t="s">
        <v>585</v>
      </c>
      <c r="D19" s="56" t="s">
        <v>573</v>
      </c>
      <c r="E19" s="57" t="s">
        <v>37</v>
      </c>
      <c r="F19" s="26" t="s">
        <v>553</v>
      </c>
      <c r="G19" s="28">
        <v>0</v>
      </c>
      <c r="H19" s="31">
        <v>0</v>
      </c>
      <c r="I19" s="31">
        <v>0</v>
      </c>
      <c r="J19" s="31">
        <v>0</v>
      </c>
      <c r="K19" s="32"/>
      <c r="L19" s="37" t="str">
        <f t="shared" si="0"/>
        <v/>
      </c>
      <c r="M19" s="38"/>
      <c r="N19" s="29" t="s">
        <v>48</v>
      </c>
      <c r="O19" s="29" t="s">
        <v>48</v>
      </c>
    </row>
    <row r="20" spans="1:15" ht="21.75" customHeight="1">
      <c r="A20" s="53">
        <v>11</v>
      </c>
      <c r="B20" s="54">
        <v>2190</v>
      </c>
      <c r="C20" s="55" t="s">
        <v>585</v>
      </c>
      <c r="D20" s="56" t="s">
        <v>578</v>
      </c>
      <c r="E20" s="57" t="s">
        <v>37</v>
      </c>
      <c r="F20" s="29" t="s">
        <v>553</v>
      </c>
      <c r="G20" s="33">
        <v>0</v>
      </c>
      <c r="H20" s="34">
        <v>0</v>
      </c>
      <c r="I20" s="34">
        <v>0</v>
      </c>
      <c r="J20" s="34">
        <v>0</v>
      </c>
      <c r="K20" s="32"/>
      <c r="L20" s="37" t="str">
        <f t="shared" si="0"/>
        <v/>
      </c>
      <c r="M20" s="38"/>
      <c r="N20" s="29" t="s">
        <v>48</v>
      </c>
      <c r="O20" s="29" t="s">
        <v>48</v>
      </c>
    </row>
    <row r="21" spans="1:15" ht="21.75" customHeight="1">
      <c r="A21" s="57">
        <v>12</v>
      </c>
      <c r="B21" s="67">
        <v>2209</v>
      </c>
      <c r="C21" s="55" t="s">
        <v>585</v>
      </c>
      <c r="D21" s="56" t="s">
        <v>581</v>
      </c>
      <c r="E21" s="57" t="s">
        <v>37</v>
      </c>
      <c r="F21" s="26" t="s">
        <v>553</v>
      </c>
      <c r="G21" s="28">
        <v>0</v>
      </c>
      <c r="H21" s="31">
        <v>0</v>
      </c>
      <c r="I21" s="31">
        <v>0</v>
      </c>
      <c r="J21" s="31">
        <v>0</v>
      </c>
      <c r="K21" s="32"/>
      <c r="L21" s="37" t="str">
        <f t="shared" si="0"/>
        <v/>
      </c>
      <c r="M21" s="38"/>
      <c r="N21" s="29" t="s">
        <v>48</v>
      </c>
      <c r="O21" s="29" t="s">
        <v>48</v>
      </c>
    </row>
    <row r="22" spans="1:15" ht="21.75" customHeight="1">
      <c r="A22" s="53">
        <v>13</v>
      </c>
      <c r="B22" s="54">
        <v>2210</v>
      </c>
      <c r="C22" s="55" t="s">
        <v>598</v>
      </c>
      <c r="D22" s="56" t="s">
        <v>600</v>
      </c>
      <c r="E22" s="57" t="s">
        <v>525</v>
      </c>
      <c r="F22" s="29" t="s">
        <v>553</v>
      </c>
      <c r="G22" s="33">
        <v>0</v>
      </c>
      <c r="H22" s="34">
        <v>10</v>
      </c>
      <c r="I22" s="34">
        <v>0</v>
      </c>
      <c r="J22" s="34">
        <v>0</v>
      </c>
      <c r="K22" s="32"/>
      <c r="L22" s="37" t="str">
        <f t="shared" si="0"/>
        <v/>
      </c>
      <c r="M22" s="38"/>
      <c r="N22" s="29" t="s">
        <v>48</v>
      </c>
      <c r="O22" s="29" t="s">
        <v>48</v>
      </c>
    </row>
    <row r="23" spans="1:15" ht="21.75" customHeight="1">
      <c r="A23" s="57">
        <v>14</v>
      </c>
      <c r="B23" s="67">
        <v>2194</v>
      </c>
      <c r="C23" s="55" t="s">
        <v>603</v>
      </c>
      <c r="D23" s="56" t="s">
        <v>604</v>
      </c>
      <c r="E23" s="57" t="s">
        <v>605</v>
      </c>
      <c r="F23" s="26" t="s">
        <v>553</v>
      </c>
      <c r="G23" s="28">
        <v>0</v>
      </c>
      <c r="H23" s="31">
        <v>0</v>
      </c>
      <c r="I23" s="31">
        <v>0</v>
      </c>
      <c r="J23" s="31">
        <v>0</v>
      </c>
      <c r="K23" s="32"/>
      <c r="L23" s="37" t="str">
        <f t="shared" si="0"/>
        <v/>
      </c>
      <c r="M23" s="38"/>
      <c r="N23" s="29" t="s">
        <v>48</v>
      </c>
      <c r="O23" s="29" t="s">
        <v>48</v>
      </c>
    </row>
    <row r="24" spans="1:15" ht="21.75" customHeight="1">
      <c r="A24" s="53">
        <v>15</v>
      </c>
      <c r="B24" s="54">
        <v>2220</v>
      </c>
      <c r="C24" s="55" t="s">
        <v>608</v>
      </c>
      <c r="D24" s="56" t="s">
        <v>610</v>
      </c>
      <c r="E24" s="57" t="s">
        <v>175</v>
      </c>
      <c r="F24" s="29" t="s">
        <v>553</v>
      </c>
      <c r="G24" s="33">
        <v>0</v>
      </c>
      <c r="H24" s="34">
        <v>0</v>
      </c>
      <c r="I24" s="34">
        <v>0</v>
      </c>
      <c r="J24" s="34">
        <v>0</v>
      </c>
      <c r="K24" s="32"/>
      <c r="L24" s="37" t="str">
        <f t="shared" si="0"/>
        <v/>
      </c>
      <c r="M24" s="38"/>
      <c r="N24" s="29" t="s">
        <v>48</v>
      </c>
      <c r="O24" s="29" t="s">
        <v>48</v>
      </c>
    </row>
    <row r="25" spans="1:15" ht="21.75" customHeight="1">
      <c r="A25" s="57">
        <v>16</v>
      </c>
      <c r="B25" s="67">
        <v>2222</v>
      </c>
      <c r="C25" s="55" t="s">
        <v>608</v>
      </c>
      <c r="D25" s="56" t="s">
        <v>615</v>
      </c>
      <c r="E25" s="57" t="s">
        <v>175</v>
      </c>
      <c r="F25" s="26" t="s">
        <v>553</v>
      </c>
      <c r="G25" s="28">
        <v>0</v>
      </c>
      <c r="H25" s="31">
        <v>0</v>
      </c>
      <c r="I25" s="31">
        <v>0</v>
      </c>
      <c r="J25" s="31">
        <v>0</v>
      </c>
      <c r="K25" s="32"/>
      <c r="L25" s="37" t="str">
        <f t="shared" si="0"/>
        <v/>
      </c>
      <c r="M25" s="38"/>
      <c r="N25" s="29" t="s">
        <v>48</v>
      </c>
      <c r="O25" s="29" t="s">
        <v>48</v>
      </c>
    </row>
    <row r="26" spans="1:15" ht="21.75" customHeight="1">
      <c r="A26" s="53">
        <v>17</v>
      </c>
      <c r="B26" s="54">
        <v>2193</v>
      </c>
      <c r="C26" s="55" t="s">
        <v>619</v>
      </c>
      <c r="D26" s="56" t="s">
        <v>620</v>
      </c>
      <c r="E26" s="57" t="s">
        <v>37</v>
      </c>
      <c r="F26" s="29" t="s">
        <v>553</v>
      </c>
      <c r="G26" s="33">
        <v>0</v>
      </c>
      <c r="H26" s="34">
        <v>0</v>
      </c>
      <c r="I26" s="34">
        <v>0</v>
      </c>
      <c r="J26" s="34">
        <v>0</v>
      </c>
      <c r="K26" s="32"/>
      <c r="L26" s="37" t="str">
        <f t="shared" si="0"/>
        <v/>
      </c>
      <c r="M26" s="38"/>
      <c r="N26" s="29" t="s">
        <v>48</v>
      </c>
      <c r="O26" s="29" t="s">
        <v>48</v>
      </c>
    </row>
    <row r="27" spans="1:15" ht="21.75" customHeight="1">
      <c r="A27" s="57">
        <v>18</v>
      </c>
      <c r="B27" s="67">
        <v>2204</v>
      </c>
      <c r="C27" s="55" t="s">
        <v>625</v>
      </c>
      <c r="D27" s="56" t="s">
        <v>626</v>
      </c>
      <c r="E27" s="57" t="s">
        <v>38</v>
      </c>
      <c r="F27" s="26" t="s">
        <v>553</v>
      </c>
      <c r="G27" s="28">
        <v>0</v>
      </c>
      <c r="H27" s="31">
        <v>0</v>
      </c>
      <c r="I27" s="31">
        <v>0</v>
      </c>
      <c r="J27" s="31">
        <v>0</v>
      </c>
      <c r="K27" s="32"/>
      <c r="L27" s="37" t="str">
        <f t="shared" si="0"/>
        <v/>
      </c>
      <c r="M27" s="38"/>
      <c r="N27" s="29" t="s">
        <v>48</v>
      </c>
      <c r="O27" s="29" t="s">
        <v>48</v>
      </c>
    </row>
    <row r="28" spans="1:15" ht="21.75" customHeight="1">
      <c r="A28" s="53">
        <v>19</v>
      </c>
      <c r="B28" s="54"/>
      <c r="C28" s="55" t="s">
        <v>625</v>
      </c>
      <c r="D28" s="56" t="s">
        <v>635</v>
      </c>
      <c r="E28" s="57" t="s">
        <v>38</v>
      </c>
      <c r="F28" s="29"/>
      <c r="G28" s="33"/>
      <c r="H28" s="34"/>
      <c r="I28" s="34"/>
      <c r="J28" s="34"/>
      <c r="K28" s="32"/>
      <c r="L28" s="37"/>
      <c r="M28" s="38"/>
      <c r="N28" s="29"/>
      <c r="O28" s="29"/>
    </row>
    <row r="29" spans="1:15" ht="21.75" customHeight="1">
      <c r="A29" s="57">
        <v>20</v>
      </c>
      <c r="B29" s="54"/>
      <c r="C29" s="55" t="s">
        <v>638</v>
      </c>
      <c r="D29" s="56" t="s">
        <v>640</v>
      </c>
      <c r="E29" s="57" t="s">
        <v>111</v>
      </c>
      <c r="F29" s="29"/>
      <c r="G29" s="33"/>
      <c r="H29" s="34"/>
      <c r="I29" s="34"/>
      <c r="J29" s="34"/>
      <c r="K29" s="32"/>
      <c r="L29" s="37"/>
      <c r="M29" s="38"/>
      <c r="N29" s="29"/>
      <c r="O29" s="29"/>
    </row>
    <row r="30" spans="1:15" ht="21.75" customHeight="1">
      <c r="A30" s="53">
        <v>21</v>
      </c>
      <c r="B30" s="54"/>
      <c r="C30" s="55" t="s">
        <v>642</v>
      </c>
      <c r="D30" s="56" t="s">
        <v>643</v>
      </c>
      <c r="E30" s="57" t="s">
        <v>106</v>
      </c>
      <c r="F30" s="29"/>
      <c r="G30" s="33"/>
      <c r="H30" s="34"/>
      <c r="I30" s="34"/>
      <c r="J30" s="34"/>
      <c r="K30" s="32"/>
      <c r="L30" s="37"/>
      <c r="M30" s="38"/>
      <c r="N30" s="29"/>
      <c r="O30" s="29"/>
    </row>
    <row r="31" spans="1:15" ht="21.75" customHeight="1">
      <c r="A31" s="57">
        <v>22</v>
      </c>
      <c r="B31" s="54">
        <v>2205</v>
      </c>
      <c r="C31" s="55" t="s">
        <v>646</v>
      </c>
      <c r="D31" s="56" t="s">
        <v>562</v>
      </c>
      <c r="E31" s="57" t="s">
        <v>111</v>
      </c>
      <c r="F31" s="29" t="s">
        <v>553</v>
      </c>
      <c r="G31" s="33">
        <v>0</v>
      </c>
      <c r="H31" s="34">
        <v>0</v>
      </c>
      <c r="I31" s="34">
        <v>0</v>
      </c>
      <c r="J31" s="34">
        <v>0</v>
      </c>
      <c r="K31" s="32"/>
      <c r="L31" s="37" t="str">
        <f t="shared" ref="L31:L35" si="1">IF(ISBLANK(K31),"",K31-G31)</f>
        <v/>
      </c>
      <c r="M31" s="38"/>
      <c r="N31" s="29" t="s">
        <v>48</v>
      </c>
      <c r="O31" s="29" t="s">
        <v>48</v>
      </c>
    </row>
    <row r="32" spans="1:15" ht="21.75" customHeight="1">
      <c r="A32" s="53">
        <v>23</v>
      </c>
      <c r="B32" s="67">
        <v>2206</v>
      </c>
      <c r="C32" s="55" t="s">
        <v>646</v>
      </c>
      <c r="D32" s="56" t="s">
        <v>566</v>
      </c>
      <c r="E32" s="57" t="s">
        <v>111</v>
      </c>
      <c r="F32" s="26" t="s">
        <v>553</v>
      </c>
      <c r="G32" s="28">
        <v>0</v>
      </c>
      <c r="H32" s="31">
        <v>0</v>
      </c>
      <c r="I32" s="31">
        <v>0</v>
      </c>
      <c r="J32" s="31">
        <v>0</v>
      </c>
      <c r="K32" s="32"/>
      <c r="L32" s="37" t="str">
        <f t="shared" si="1"/>
        <v/>
      </c>
      <c r="M32" s="38"/>
      <c r="N32" s="29" t="s">
        <v>48</v>
      </c>
      <c r="O32" s="29" t="s">
        <v>48</v>
      </c>
    </row>
    <row r="33" spans="1:26" ht="21.75" customHeight="1">
      <c r="A33" s="57">
        <v>24</v>
      </c>
      <c r="B33" s="54">
        <v>2207</v>
      </c>
      <c r="C33" s="55" t="s">
        <v>646</v>
      </c>
      <c r="D33" s="56" t="s">
        <v>569</v>
      </c>
      <c r="E33" s="57" t="s">
        <v>111</v>
      </c>
      <c r="F33" s="29" t="s">
        <v>553</v>
      </c>
      <c r="G33" s="33">
        <v>0</v>
      </c>
      <c r="H33" s="34">
        <v>0</v>
      </c>
      <c r="I33" s="34">
        <v>0</v>
      </c>
      <c r="J33" s="34">
        <v>0</v>
      </c>
      <c r="K33" s="32"/>
      <c r="L33" s="37" t="str">
        <f t="shared" si="1"/>
        <v/>
      </c>
      <c r="M33" s="38"/>
      <c r="N33" s="29" t="s">
        <v>48</v>
      </c>
      <c r="O33" s="29" t="s">
        <v>48</v>
      </c>
    </row>
    <row r="34" spans="1:26" ht="21.75" customHeight="1">
      <c r="A34" s="53">
        <v>25</v>
      </c>
      <c r="B34" s="67">
        <v>2223</v>
      </c>
      <c r="C34" s="55" t="s">
        <v>657</v>
      </c>
      <c r="D34" s="56" t="s">
        <v>658</v>
      </c>
      <c r="E34" s="57" t="s">
        <v>38</v>
      </c>
      <c r="F34" s="26" t="s">
        <v>553</v>
      </c>
      <c r="G34" s="28">
        <v>0</v>
      </c>
      <c r="H34" s="31">
        <v>0</v>
      </c>
      <c r="I34" s="31">
        <v>0</v>
      </c>
      <c r="J34" s="31">
        <v>0</v>
      </c>
      <c r="K34" s="32"/>
      <c r="L34" s="37" t="str">
        <f t="shared" si="1"/>
        <v/>
      </c>
      <c r="M34" s="38"/>
      <c r="N34" s="29" t="s">
        <v>48</v>
      </c>
      <c r="O34" s="29" t="s">
        <v>48</v>
      </c>
    </row>
    <row r="35" spans="1:26" ht="21.75" customHeight="1">
      <c r="A35" s="57">
        <v>26</v>
      </c>
      <c r="B35" s="54">
        <v>2212</v>
      </c>
      <c r="C35" s="55" t="s">
        <v>500</v>
      </c>
      <c r="D35" s="56" t="s">
        <v>660</v>
      </c>
      <c r="E35" s="57" t="s">
        <v>38</v>
      </c>
      <c r="F35" s="29" t="s">
        <v>553</v>
      </c>
      <c r="G35" s="33">
        <v>0</v>
      </c>
      <c r="H35" s="34">
        <v>0</v>
      </c>
      <c r="I35" s="34">
        <v>0</v>
      </c>
      <c r="J35" s="34">
        <v>0</v>
      </c>
      <c r="K35" s="32"/>
      <c r="L35" s="37" t="str">
        <f t="shared" si="1"/>
        <v/>
      </c>
      <c r="M35" s="38"/>
      <c r="N35" s="29" t="s">
        <v>48</v>
      </c>
      <c r="O35" s="29" t="s">
        <v>48</v>
      </c>
    </row>
    <row r="36" spans="1:26" ht="25.5" customHeight="1">
      <c r="A36" s="83"/>
      <c r="B36" s="83"/>
      <c r="C36" s="83"/>
      <c r="D36" s="83"/>
      <c r="E36" s="83"/>
      <c r="F36" s="83"/>
      <c r="G36" s="84"/>
      <c r="H36" s="84"/>
      <c r="I36" s="84"/>
      <c r="J36" s="84"/>
      <c r="K36" s="84"/>
      <c r="L36" s="85"/>
      <c r="M36" s="84"/>
      <c r="N36" s="86"/>
      <c r="O36" s="86"/>
    </row>
    <row r="37" spans="1:26" ht="25.5" customHeight="1">
      <c r="A37" s="83"/>
      <c r="B37" s="83"/>
      <c r="C37" s="83"/>
      <c r="D37" s="83"/>
      <c r="E37" s="83"/>
      <c r="F37" s="83"/>
      <c r="G37" s="84"/>
      <c r="H37" s="84"/>
      <c r="I37" s="84"/>
      <c r="J37" s="84"/>
      <c r="K37" s="84"/>
      <c r="L37" s="85"/>
      <c r="M37" s="84"/>
      <c r="N37" s="86"/>
      <c r="O37" s="86"/>
    </row>
    <row r="38" spans="1:26" ht="25.5" customHeight="1">
      <c r="A38" s="83"/>
      <c r="B38" s="83"/>
      <c r="C38" s="83"/>
      <c r="D38" s="83"/>
      <c r="E38" s="83"/>
      <c r="F38" s="83"/>
      <c r="G38" s="84"/>
      <c r="H38" s="84"/>
      <c r="I38" s="84"/>
      <c r="J38" s="84"/>
      <c r="K38" s="84"/>
      <c r="L38" s="85"/>
      <c r="M38" s="84"/>
      <c r="N38" s="86"/>
      <c r="O38" s="86"/>
    </row>
    <row r="39" spans="1:26" ht="25.5" customHeight="1">
      <c r="A39" s="83"/>
      <c r="B39" s="83"/>
      <c r="C39" s="83"/>
      <c r="D39" s="83"/>
      <c r="E39" s="83"/>
      <c r="F39" s="83"/>
      <c r="G39" s="84"/>
      <c r="H39" s="84"/>
      <c r="I39" s="84"/>
      <c r="J39" s="84"/>
      <c r="K39" s="84"/>
      <c r="L39" s="85"/>
      <c r="M39" s="84"/>
      <c r="N39" s="86"/>
      <c r="O39" s="86"/>
    </row>
    <row r="40" spans="1:26" ht="25.5" customHeight="1">
      <c r="A40" s="102" t="s">
        <v>378</v>
      </c>
      <c r="B40" s="103"/>
      <c r="C40" s="103"/>
      <c r="D40" s="103"/>
      <c r="E40" s="103"/>
      <c r="F40" s="104"/>
      <c r="G40" s="47">
        <f t="shared" ref="G40:M40" si="2">SUM(G10:G35)</f>
        <v>0</v>
      </c>
      <c r="H40" s="47">
        <f t="shared" si="2"/>
        <v>28</v>
      </c>
      <c r="I40" s="47">
        <f t="shared" si="2"/>
        <v>0</v>
      </c>
      <c r="J40" s="47">
        <f t="shared" si="2"/>
        <v>0</v>
      </c>
      <c r="K40" s="47">
        <f t="shared" si="2"/>
        <v>0</v>
      </c>
      <c r="L40" s="48">
        <f t="shared" si="2"/>
        <v>0</v>
      </c>
      <c r="M40" s="47">
        <f t="shared" si="2"/>
        <v>0</v>
      </c>
      <c r="N40" s="49"/>
      <c r="O40" s="49"/>
    </row>
    <row r="41" spans="1:26" ht="15.75" customHeight="1"/>
    <row r="42" spans="1:26" ht="15.75" customHeight="1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114" t="s">
        <v>389</v>
      </c>
      <c r="L42" s="88"/>
      <c r="M42" s="88"/>
      <c r="N42" s="88"/>
      <c r="O42" s="88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6" ht="19.5" customHeight="1">
      <c r="A43" s="112" t="s">
        <v>391</v>
      </c>
      <c r="B43" s="88"/>
      <c r="C43" s="88"/>
      <c r="D43" s="112" t="s">
        <v>392</v>
      </c>
      <c r="E43" s="88"/>
      <c r="F43" s="88"/>
      <c r="G43" s="88"/>
      <c r="H43" s="112" t="s">
        <v>393</v>
      </c>
      <c r="I43" s="88"/>
      <c r="J43" s="88"/>
      <c r="K43" s="112" t="s">
        <v>395</v>
      </c>
      <c r="L43" s="88"/>
      <c r="M43" s="88"/>
      <c r="N43" s="88"/>
      <c r="O43" s="88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6" ht="15.75" customHeight="1">
      <c r="A44" s="113" t="s">
        <v>396</v>
      </c>
      <c r="B44" s="88"/>
      <c r="C44" s="88"/>
      <c r="D44" s="113" t="s">
        <v>396</v>
      </c>
      <c r="E44" s="88"/>
      <c r="F44" s="88"/>
      <c r="G44" s="88"/>
      <c r="H44" s="113" t="s">
        <v>396</v>
      </c>
      <c r="I44" s="88"/>
      <c r="J44" s="88"/>
      <c r="K44" s="113" t="s">
        <v>398</v>
      </c>
      <c r="L44" s="88"/>
      <c r="M44" s="88"/>
      <c r="N44" s="88"/>
      <c r="O44" s="88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6" ht="15.75" customHeight="1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6" ht="15.75" customHeight="1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5.75" customHeight="1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20">
    <mergeCell ref="A6:O6"/>
    <mergeCell ref="A8:F8"/>
    <mergeCell ref="M8:O8"/>
    <mergeCell ref="A43:C43"/>
    <mergeCell ref="A44:C44"/>
    <mergeCell ref="D44:G44"/>
    <mergeCell ref="H44:J44"/>
    <mergeCell ref="K44:O44"/>
    <mergeCell ref="G8:J8"/>
    <mergeCell ref="K8:L8"/>
    <mergeCell ref="A40:F40"/>
    <mergeCell ref="K42:O42"/>
    <mergeCell ref="D43:G43"/>
    <mergeCell ref="H43:J43"/>
    <mergeCell ref="K43:O43"/>
    <mergeCell ref="A1:F1"/>
    <mergeCell ref="L1:O1"/>
    <mergeCell ref="A2:F2"/>
    <mergeCell ref="A4:O4"/>
    <mergeCell ref="A5:O5"/>
  </mergeCells>
  <pageMargins left="0.75" right="0.75" top="0.7" bottom="0.7" header="0" footer="0"/>
  <pageSetup paperSize="9" scale="86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999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D10" sqref="D10"/>
    </sheetView>
  </sheetViews>
  <sheetFormatPr defaultColWidth="14.453125" defaultRowHeight="15" customHeight="1"/>
  <cols>
    <col min="1" max="1" width="6" customWidth="1"/>
    <col min="2" max="2" width="8.7265625" hidden="1" customWidth="1"/>
    <col min="3" max="3" width="36" customWidth="1"/>
    <col min="4" max="4" width="33.7265625" customWidth="1"/>
    <col min="5" max="5" width="11.453125" customWidth="1"/>
    <col min="6" max="6" width="22" hidden="1" customWidth="1"/>
    <col min="7" max="7" width="14" hidden="1" customWidth="1"/>
    <col min="8" max="10" width="13" hidden="1" customWidth="1"/>
    <col min="11" max="13" width="16" hidden="1" customWidth="1"/>
    <col min="14" max="14" width="32" hidden="1" customWidth="1"/>
    <col min="15" max="15" width="17.26953125" customWidth="1"/>
    <col min="16" max="26" width="8.7265625" customWidth="1"/>
  </cols>
  <sheetData>
    <row r="1" spans="1:26" ht="14.5">
      <c r="A1" s="87" t="s">
        <v>0</v>
      </c>
      <c r="B1" s="88"/>
      <c r="C1" s="88"/>
      <c r="D1" s="88"/>
      <c r="E1" s="88"/>
      <c r="F1" s="88"/>
      <c r="L1" s="89" t="s">
        <v>1</v>
      </c>
      <c r="M1" s="88"/>
      <c r="N1" s="88"/>
      <c r="O1" s="88"/>
    </row>
    <row r="2" spans="1:26" ht="14.5">
      <c r="A2" s="90" t="s">
        <v>544</v>
      </c>
      <c r="B2" s="88"/>
      <c r="C2" s="88"/>
      <c r="D2" s="88"/>
      <c r="E2" s="88"/>
      <c r="F2" s="88"/>
    </row>
    <row r="3" spans="1:26" ht="14.5" hidden="1"/>
    <row r="4" spans="1:26" ht="27.75" customHeight="1">
      <c r="A4" s="91" t="s">
        <v>3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</row>
    <row r="5" spans="1:26" ht="19.5" customHeight="1">
      <c r="A5" s="92" t="s">
        <v>545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</row>
    <row r="6" spans="1:26" ht="18" hidden="1" customHeight="1">
      <c r="A6" s="93" t="s">
        <v>546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</row>
    <row r="7" spans="1:26" ht="14.5" hidden="1"/>
    <row r="8" spans="1:26" ht="24" hidden="1" customHeight="1">
      <c r="A8" s="94" t="s">
        <v>8</v>
      </c>
      <c r="B8" s="95"/>
      <c r="C8" s="95"/>
      <c r="D8" s="95"/>
      <c r="E8" s="95"/>
      <c r="F8" s="96"/>
      <c r="G8" s="100" t="s">
        <v>11</v>
      </c>
      <c r="H8" s="95"/>
      <c r="I8" s="95"/>
      <c r="J8" s="96"/>
      <c r="K8" s="101" t="s">
        <v>12</v>
      </c>
      <c r="L8" s="96"/>
      <c r="M8" s="97"/>
      <c r="N8" s="95"/>
      <c r="O8" s="96"/>
    </row>
    <row r="9" spans="1:26" ht="27.75" customHeight="1">
      <c r="A9" s="2" t="s">
        <v>13</v>
      </c>
      <c r="B9" s="2" t="s">
        <v>14</v>
      </c>
      <c r="C9" s="2" t="s">
        <v>15</v>
      </c>
      <c r="D9" s="4" t="s">
        <v>16</v>
      </c>
      <c r="E9" s="2" t="s">
        <v>17</v>
      </c>
      <c r="F9" s="2" t="s">
        <v>18</v>
      </c>
      <c r="G9" s="6" t="s">
        <v>19</v>
      </c>
      <c r="H9" s="6" t="s">
        <v>20</v>
      </c>
      <c r="I9" s="6" t="s">
        <v>21</v>
      </c>
      <c r="J9" s="6" t="s">
        <v>22</v>
      </c>
      <c r="K9" s="8" t="s">
        <v>23</v>
      </c>
      <c r="L9" s="8" t="s">
        <v>24</v>
      </c>
      <c r="M9" s="10" t="s">
        <v>25</v>
      </c>
      <c r="N9" s="10" t="s">
        <v>26</v>
      </c>
      <c r="O9" s="10" t="s">
        <v>27</v>
      </c>
    </row>
    <row r="10" spans="1:26" ht="26">
      <c r="A10" s="58">
        <v>1</v>
      </c>
      <c r="B10" s="59">
        <v>2203</v>
      </c>
      <c r="C10" s="60" t="s">
        <v>554</v>
      </c>
      <c r="D10" s="61" t="s">
        <v>555</v>
      </c>
      <c r="E10" s="58" t="s">
        <v>37</v>
      </c>
      <c r="F10" s="62" t="s">
        <v>553</v>
      </c>
      <c r="G10" s="63">
        <v>0</v>
      </c>
      <c r="H10" s="64">
        <v>0</v>
      </c>
      <c r="I10" s="64">
        <v>0</v>
      </c>
      <c r="J10" s="64">
        <v>0</v>
      </c>
      <c r="K10" s="68"/>
      <c r="L10" s="69" t="str">
        <f t="shared" ref="L10:L21" si="0">IF(ISBLANK(K10),"",K10-G10)</f>
        <v/>
      </c>
      <c r="M10" s="64"/>
      <c r="N10" s="62" t="s">
        <v>48</v>
      </c>
      <c r="O10" s="62" t="s">
        <v>48</v>
      </c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</row>
    <row r="11" spans="1:26" ht="26">
      <c r="A11" s="58">
        <v>2</v>
      </c>
      <c r="B11" s="59">
        <v>2213</v>
      </c>
      <c r="C11" s="60" t="s">
        <v>564</v>
      </c>
      <c r="D11" s="61" t="s">
        <v>565</v>
      </c>
      <c r="E11" s="58" t="s">
        <v>37</v>
      </c>
      <c r="F11" s="62" t="s">
        <v>553</v>
      </c>
      <c r="G11" s="63">
        <v>0</v>
      </c>
      <c r="H11" s="64">
        <v>0</v>
      </c>
      <c r="I11" s="64">
        <v>0</v>
      </c>
      <c r="J11" s="64">
        <v>0</v>
      </c>
      <c r="K11" s="68"/>
      <c r="L11" s="69" t="str">
        <f t="shared" si="0"/>
        <v/>
      </c>
      <c r="M11" s="64"/>
      <c r="N11" s="62" t="s">
        <v>48</v>
      </c>
      <c r="O11" s="62" t="s">
        <v>48</v>
      </c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 spans="1:26" ht="26">
      <c r="A12" s="58">
        <v>3</v>
      </c>
      <c r="B12" s="59">
        <v>2201</v>
      </c>
      <c r="C12" s="60" t="s">
        <v>567</v>
      </c>
      <c r="D12" s="61" t="s">
        <v>568</v>
      </c>
      <c r="E12" s="58" t="s">
        <v>37</v>
      </c>
      <c r="F12" s="62" t="s">
        <v>553</v>
      </c>
      <c r="G12" s="63">
        <v>0</v>
      </c>
      <c r="H12" s="64">
        <v>0</v>
      </c>
      <c r="I12" s="64">
        <v>0</v>
      </c>
      <c r="J12" s="64">
        <v>0</v>
      </c>
      <c r="K12" s="68"/>
      <c r="L12" s="69" t="str">
        <f t="shared" si="0"/>
        <v/>
      </c>
      <c r="M12" s="64"/>
      <c r="N12" s="62" t="s">
        <v>48</v>
      </c>
      <c r="O12" s="62" t="s">
        <v>48</v>
      </c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 spans="1:26" ht="14.5">
      <c r="A13" s="58">
        <v>4</v>
      </c>
      <c r="B13" s="59">
        <v>2195</v>
      </c>
      <c r="C13" s="60" t="s">
        <v>570</v>
      </c>
      <c r="D13" s="61" t="s">
        <v>571</v>
      </c>
      <c r="E13" s="58" t="s">
        <v>37</v>
      </c>
      <c r="F13" s="62" t="s">
        <v>553</v>
      </c>
      <c r="G13" s="63">
        <v>0</v>
      </c>
      <c r="H13" s="64">
        <v>0</v>
      </c>
      <c r="I13" s="64">
        <v>0</v>
      </c>
      <c r="J13" s="64">
        <v>0</v>
      </c>
      <c r="K13" s="68"/>
      <c r="L13" s="69" t="str">
        <f t="shared" si="0"/>
        <v/>
      </c>
      <c r="M13" s="64"/>
      <c r="N13" s="62" t="s">
        <v>48</v>
      </c>
      <c r="O13" s="62" t="s">
        <v>48</v>
      </c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 spans="1:26" ht="14.5">
      <c r="A14" s="58">
        <v>5</v>
      </c>
      <c r="B14" s="59">
        <v>2191</v>
      </c>
      <c r="C14" s="60" t="s">
        <v>574</v>
      </c>
      <c r="D14" s="61" t="s">
        <v>575</v>
      </c>
      <c r="E14" s="58" t="s">
        <v>37</v>
      </c>
      <c r="F14" s="62" t="s">
        <v>553</v>
      </c>
      <c r="G14" s="63">
        <v>0</v>
      </c>
      <c r="H14" s="64">
        <v>0</v>
      </c>
      <c r="I14" s="64">
        <v>0</v>
      </c>
      <c r="J14" s="64">
        <v>0</v>
      </c>
      <c r="K14" s="68"/>
      <c r="L14" s="69" t="str">
        <f t="shared" si="0"/>
        <v/>
      </c>
      <c r="M14" s="64"/>
      <c r="N14" s="62" t="s">
        <v>48</v>
      </c>
      <c r="O14" s="62" t="s">
        <v>48</v>
      </c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 spans="1:26" ht="21.75" customHeight="1">
      <c r="A15" s="58">
        <v>6</v>
      </c>
      <c r="B15" s="59">
        <v>2192</v>
      </c>
      <c r="C15" s="60" t="s">
        <v>576</v>
      </c>
      <c r="D15" s="61" t="s">
        <v>577</v>
      </c>
      <c r="E15" s="58" t="s">
        <v>37</v>
      </c>
      <c r="F15" s="62" t="s">
        <v>553</v>
      </c>
      <c r="G15" s="63">
        <v>0</v>
      </c>
      <c r="H15" s="64">
        <v>0</v>
      </c>
      <c r="I15" s="64">
        <v>0</v>
      </c>
      <c r="J15" s="64">
        <v>0</v>
      </c>
      <c r="K15" s="68"/>
      <c r="L15" s="69" t="str">
        <f t="shared" si="0"/>
        <v/>
      </c>
      <c r="M15" s="64"/>
      <c r="N15" s="62" t="s">
        <v>48</v>
      </c>
      <c r="O15" s="62" t="s">
        <v>48</v>
      </c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spans="1:26" ht="21.75" customHeight="1">
      <c r="A16" s="58">
        <v>7</v>
      </c>
      <c r="B16" s="59">
        <v>2224</v>
      </c>
      <c r="C16" s="60" t="s">
        <v>579</v>
      </c>
      <c r="D16" s="61" t="s">
        <v>580</v>
      </c>
      <c r="E16" s="58" t="s">
        <v>37</v>
      </c>
      <c r="F16" s="62" t="s">
        <v>553</v>
      </c>
      <c r="G16" s="63">
        <v>0</v>
      </c>
      <c r="H16" s="64">
        <v>0</v>
      </c>
      <c r="I16" s="64">
        <v>0</v>
      </c>
      <c r="J16" s="64">
        <v>0</v>
      </c>
      <c r="K16" s="68"/>
      <c r="L16" s="69" t="str">
        <f t="shared" si="0"/>
        <v/>
      </c>
      <c r="M16" s="64"/>
      <c r="N16" s="62" t="s">
        <v>48</v>
      </c>
      <c r="O16" s="62" t="s">
        <v>48</v>
      </c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</row>
    <row r="17" spans="1:26" ht="21.75" customHeight="1">
      <c r="A17" s="58">
        <v>8</v>
      </c>
      <c r="B17" s="59">
        <v>2225</v>
      </c>
      <c r="C17" s="60" t="s">
        <v>583</v>
      </c>
      <c r="D17" s="61" t="s">
        <v>584</v>
      </c>
      <c r="E17" s="58" t="s">
        <v>37</v>
      </c>
      <c r="F17" s="62" t="s">
        <v>553</v>
      </c>
      <c r="G17" s="63">
        <v>0</v>
      </c>
      <c r="H17" s="64">
        <v>0</v>
      </c>
      <c r="I17" s="64">
        <v>0</v>
      </c>
      <c r="J17" s="64">
        <v>0</v>
      </c>
      <c r="K17" s="68"/>
      <c r="L17" s="69" t="str">
        <f t="shared" si="0"/>
        <v/>
      </c>
      <c r="M17" s="64"/>
      <c r="N17" s="62" t="s">
        <v>48</v>
      </c>
      <c r="O17" s="62" t="s">
        <v>48</v>
      </c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</row>
    <row r="18" spans="1:26" ht="26">
      <c r="A18" s="58">
        <v>9</v>
      </c>
      <c r="B18" s="59">
        <v>2198</v>
      </c>
      <c r="C18" s="60" t="s">
        <v>588</v>
      </c>
      <c r="D18" s="61" t="s">
        <v>589</v>
      </c>
      <c r="E18" s="58" t="s">
        <v>37</v>
      </c>
      <c r="F18" s="62" t="s">
        <v>553</v>
      </c>
      <c r="G18" s="63">
        <v>0</v>
      </c>
      <c r="H18" s="64">
        <v>0</v>
      </c>
      <c r="I18" s="64">
        <v>0</v>
      </c>
      <c r="J18" s="64">
        <v>0</v>
      </c>
      <c r="K18" s="68"/>
      <c r="L18" s="69" t="str">
        <f t="shared" si="0"/>
        <v/>
      </c>
      <c r="M18" s="64"/>
      <c r="N18" s="62" t="s">
        <v>48</v>
      </c>
      <c r="O18" s="62" t="s">
        <v>48</v>
      </c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 spans="1:26" ht="21.75" customHeight="1">
      <c r="A19" s="58">
        <v>10</v>
      </c>
      <c r="B19" s="59">
        <v>2199</v>
      </c>
      <c r="C19" s="60" t="s">
        <v>592</v>
      </c>
      <c r="D19" s="61" t="s">
        <v>593</v>
      </c>
      <c r="E19" s="58" t="s">
        <v>37</v>
      </c>
      <c r="F19" s="62" t="s">
        <v>553</v>
      </c>
      <c r="G19" s="63">
        <v>0</v>
      </c>
      <c r="H19" s="64">
        <v>0</v>
      </c>
      <c r="I19" s="64">
        <v>0</v>
      </c>
      <c r="J19" s="64">
        <v>0</v>
      </c>
      <c r="K19" s="68"/>
      <c r="L19" s="69" t="str">
        <f t="shared" si="0"/>
        <v/>
      </c>
      <c r="M19" s="64"/>
      <c r="N19" s="62" t="s">
        <v>48</v>
      </c>
      <c r="O19" s="62" t="s">
        <v>48</v>
      </c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</row>
    <row r="20" spans="1:26" ht="21.75" customHeight="1">
      <c r="A20" s="58">
        <v>11</v>
      </c>
      <c r="B20" s="59">
        <v>2217</v>
      </c>
      <c r="C20" s="60" t="s">
        <v>594</v>
      </c>
      <c r="D20" s="61"/>
      <c r="E20" s="58" t="s">
        <v>37</v>
      </c>
      <c r="F20" s="62" t="s">
        <v>553</v>
      </c>
      <c r="G20" s="63">
        <v>0</v>
      </c>
      <c r="H20" s="64">
        <v>0</v>
      </c>
      <c r="I20" s="64">
        <v>0</v>
      </c>
      <c r="J20" s="64">
        <v>0</v>
      </c>
      <c r="K20" s="68"/>
      <c r="L20" s="69" t="str">
        <f t="shared" si="0"/>
        <v/>
      </c>
      <c r="M20" s="64"/>
      <c r="N20" s="62" t="s">
        <v>48</v>
      </c>
      <c r="O20" s="62" t="s">
        <v>48</v>
      </c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spans="1:26" ht="26">
      <c r="A21" s="58">
        <v>12</v>
      </c>
      <c r="B21" s="59">
        <v>2215</v>
      </c>
      <c r="C21" s="60" t="s">
        <v>596</v>
      </c>
      <c r="D21" s="61" t="s">
        <v>597</v>
      </c>
      <c r="E21" s="58" t="s">
        <v>37</v>
      </c>
      <c r="F21" s="62" t="s">
        <v>553</v>
      </c>
      <c r="G21" s="63">
        <v>0</v>
      </c>
      <c r="H21" s="64">
        <v>0</v>
      </c>
      <c r="I21" s="64">
        <v>0</v>
      </c>
      <c r="J21" s="64">
        <v>0</v>
      </c>
      <c r="K21" s="68"/>
      <c r="L21" s="69" t="str">
        <f t="shared" si="0"/>
        <v/>
      </c>
      <c r="M21" s="64"/>
      <c r="N21" s="62" t="s">
        <v>48</v>
      </c>
      <c r="O21" s="62" t="s">
        <v>48</v>
      </c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 spans="1:26" ht="21.75" customHeight="1">
      <c r="A22" s="58">
        <v>13</v>
      </c>
      <c r="B22" s="59"/>
      <c r="C22" s="60" t="s">
        <v>601</v>
      </c>
      <c r="D22" s="61" t="s">
        <v>602</v>
      </c>
      <c r="E22" s="58" t="s">
        <v>37</v>
      </c>
      <c r="F22" s="62"/>
      <c r="G22" s="63"/>
      <c r="H22" s="64"/>
      <c r="I22" s="64"/>
      <c r="J22" s="64"/>
      <c r="K22" s="68"/>
      <c r="L22" s="69"/>
      <c r="M22" s="64"/>
      <c r="N22" s="62"/>
      <c r="O22" s="62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 spans="1:26" ht="21.75" customHeight="1">
      <c r="A23" s="58">
        <v>14</v>
      </c>
      <c r="B23" s="59"/>
      <c r="C23" s="60" t="s">
        <v>606</v>
      </c>
      <c r="D23" s="61" t="s">
        <v>602</v>
      </c>
      <c r="E23" s="58" t="s">
        <v>37</v>
      </c>
      <c r="F23" s="62"/>
      <c r="G23" s="63"/>
      <c r="H23" s="64"/>
      <c r="I23" s="64"/>
      <c r="J23" s="64"/>
      <c r="K23" s="68"/>
      <c r="L23" s="69"/>
      <c r="M23" s="64"/>
      <c r="N23" s="62"/>
      <c r="O23" s="62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 spans="1:26" ht="21.75" customHeight="1">
      <c r="A24" s="58">
        <v>15</v>
      </c>
      <c r="B24" s="59"/>
      <c r="C24" s="60" t="s">
        <v>607</v>
      </c>
      <c r="D24" s="61" t="s">
        <v>602</v>
      </c>
      <c r="E24" s="58" t="s">
        <v>37</v>
      </c>
      <c r="F24" s="62"/>
      <c r="G24" s="63"/>
      <c r="H24" s="64"/>
      <c r="I24" s="64"/>
      <c r="J24" s="64"/>
      <c r="K24" s="68"/>
      <c r="L24" s="69"/>
      <c r="M24" s="64"/>
      <c r="N24" s="62"/>
      <c r="O24" s="62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 spans="1:26" ht="21.75" customHeight="1">
      <c r="A25" s="58">
        <v>16</v>
      </c>
      <c r="B25" s="59"/>
      <c r="C25" s="71" t="s">
        <v>611</v>
      </c>
      <c r="D25" s="61" t="s">
        <v>613</v>
      </c>
      <c r="E25" s="58" t="s">
        <v>37</v>
      </c>
      <c r="F25" s="62"/>
      <c r="G25" s="63"/>
      <c r="H25" s="64"/>
      <c r="I25" s="64"/>
      <c r="J25" s="64"/>
      <c r="K25" s="68"/>
      <c r="L25" s="69"/>
      <c r="M25" s="64"/>
      <c r="N25" s="62"/>
      <c r="O25" s="62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 spans="1:26" ht="27" customHeight="1">
      <c r="A26" s="58">
        <v>17</v>
      </c>
      <c r="B26" s="72"/>
      <c r="C26" s="73" t="s">
        <v>616</v>
      </c>
      <c r="D26" s="74" t="s">
        <v>618</v>
      </c>
      <c r="E26" s="58" t="s">
        <v>37</v>
      </c>
      <c r="F26" s="62"/>
      <c r="G26" s="63"/>
      <c r="H26" s="64"/>
      <c r="I26" s="64"/>
      <c r="J26" s="64"/>
      <c r="K26" s="68"/>
      <c r="L26" s="69"/>
      <c r="M26" s="64"/>
      <c r="N26" s="62"/>
      <c r="O26" s="62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 spans="1:26" ht="27" customHeight="1">
      <c r="A27" s="58">
        <v>18</v>
      </c>
      <c r="B27" s="72"/>
      <c r="C27" s="73" t="s">
        <v>621</v>
      </c>
      <c r="D27" s="74" t="s">
        <v>622</v>
      </c>
      <c r="E27" s="58" t="s">
        <v>37</v>
      </c>
      <c r="F27" s="62"/>
      <c r="G27" s="63"/>
      <c r="H27" s="64"/>
      <c r="I27" s="64"/>
      <c r="J27" s="64"/>
      <c r="K27" s="68"/>
      <c r="L27" s="69"/>
      <c r="M27" s="64"/>
      <c r="N27" s="62"/>
      <c r="O27" s="62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 spans="1:26" ht="27" customHeight="1">
      <c r="A28" s="58">
        <v>19</v>
      </c>
      <c r="B28" s="72"/>
      <c r="C28" s="73" t="s">
        <v>621</v>
      </c>
      <c r="D28" s="74" t="s">
        <v>624</v>
      </c>
      <c r="E28" s="58" t="s">
        <v>37</v>
      </c>
      <c r="F28" s="62"/>
      <c r="G28" s="63"/>
      <c r="H28" s="64"/>
      <c r="I28" s="64"/>
      <c r="J28" s="64"/>
      <c r="K28" s="68"/>
      <c r="L28" s="69"/>
      <c r="M28" s="64"/>
      <c r="N28" s="62"/>
      <c r="O28" s="62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 spans="1:26" ht="27" customHeight="1">
      <c r="A29" s="58">
        <v>20</v>
      </c>
      <c r="B29" s="72"/>
      <c r="C29" s="73" t="s">
        <v>621</v>
      </c>
      <c r="D29" s="74" t="s">
        <v>628</v>
      </c>
      <c r="E29" s="75" t="s">
        <v>37</v>
      </c>
      <c r="F29" s="62"/>
      <c r="G29" s="63"/>
      <c r="H29" s="64"/>
      <c r="I29" s="64"/>
      <c r="J29" s="64"/>
      <c r="K29" s="68"/>
      <c r="L29" s="69"/>
      <c r="M29" s="64"/>
      <c r="N29" s="62"/>
      <c r="O29" s="62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 spans="1:26" ht="21.75" customHeight="1">
      <c r="A30" s="58">
        <v>21</v>
      </c>
      <c r="B30" s="72"/>
      <c r="C30" s="76" t="s">
        <v>629</v>
      </c>
      <c r="D30" s="77" t="s">
        <v>631</v>
      </c>
      <c r="E30" s="75" t="s">
        <v>37</v>
      </c>
      <c r="F30" s="78"/>
      <c r="G30" s="63"/>
      <c r="H30" s="64"/>
      <c r="I30" s="64"/>
      <c r="J30" s="64"/>
      <c r="K30" s="68"/>
      <c r="L30" s="69"/>
      <c r="M30" s="64"/>
      <c r="N30" s="62"/>
      <c r="O30" s="62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 spans="1:26" ht="21.75" customHeight="1">
      <c r="A31" s="58">
        <v>22</v>
      </c>
      <c r="B31" s="72"/>
      <c r="C31" s="76" t="s">
        <v>629</v>
      </c>
      <c r="D31" s="77" t="s">
        <v>633</v>
      </c>
      <c r="E31" s="75" t="s">
        <v>37</v>
      </c>
      <c r="F31" s="78"/>
      <c r="G31" s="63"/>
      <c r="H31" s="64"/>
      <c r="I31" s="64"/>
      <c r="J31" s="64"/>
      <c r="K31" s="68"/>
      <c r="L31" s="69"/>
      <c r="M31" s="64"/>
      <c r="N31" s="62"/>
      <c r="O31" s="62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 spans="1:26" ht="21.75" customHeight="1">
      <c r="A32" s="58">
        <v>23</v>
      </c>
      <c r="B32" s="72"/>
      <c r="C32" s="76" t="s">
        <v>636</v>
      </c>
      <c r="D32" s="77" t="s">
        <v>637</v>
      </c>
      <c r="E32" s="75" t="s">
        <v>37</v>
      </c>
      <c r="F32" s="78"/>
      <c r="G32" s="63"/>
      <c r="H32" s="64"/>
      <c r="I32" s="64"/>
      <c r="J32" s="64"/>
      <c r="K32" s="68"/>
      <c r="L32" s="69"/>
      <c r="M32" s="64"/>
      <c r="N32" s="62"/>
      <c r="O32" s="62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 spans="1:26" ht="21.75" customHeight="1">
      <c r="A33" s="58">
        <v>24</v>
      </c>
      <c r="B33" s="72"/>
      <c r="C33" s="76" t="s">
        <v>636</v>
      </c>
      <c r="D33" s="77" t="s">
        <v>639</v>
      </c>
      <c r="E33" s="75" t="s">
        <v>37</v>
      </c>
      <c r="F33" s="78"/>
      <c r="G33" s="63"/>
      <c r="H33" s="64"/>
      <c r="I33" s="64"/>
      <c r="J33" s="64"/>
      <c r="K33" s="68"/>
      <c r="L33" s="69"/>
      <c r="M33" s="64"/>
      <c r="N33" s="62"/>
      <c r="O33" s="62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 spans="1:26" ht="21.75" customHeight="1">
      <c r="A34" s="58">
        <v>25</v>
      </c>
      <c r="B34" s="72"/>
      <c r="C34" s="76" t="s">
        <v>636</v>
      </c>
      <c r="D34" s="77" t="s">
        <v>644</v>
      </c>
      <c r="E34" s="75" t="s">
        <v>37</v>
      </c>
      <c r="F34" s="78"/>
      <c r="G34" s="63"/>
      <c r="H34" s="64"/>
      <c r="I34" s="64"/>
      <c r="J34" s="64"/>
      <c r="K34" s="68"/>
      <c r="L34" s="69"/>
      <c r="M34" s="64"/>
      <c r="N34" s="62"/>
      <c r="O34" s="62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 spans="1:26" ht="21.75" customHeight="1">
      <c r="A35" s="58">
        <v>26</v>
      </c>
      <c r="B35" s="72"/>
      <c r="C35" s="76" t="s">
        <v>647</v>
      </c>
      <c r="D35" s="77" t="s">
        <v>648</v>
      </c>
      <c r="E35" s="75" t="s">
        <v>37</v>
      </c>
      <c r="F35" s="78"/>
      <c r="G35" s="63"/>
      <c r="H35" s="64"/>
      <c r="I35" s="64"/>
      <c r="J35" s="64"/>
      <c r="K35" s="68"/>
      <c r="L35" s="69"/>
      <c r="M35" s="64"/>
      <c r="N35" s="62"/>
      <c r="O35" s="62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 spans="1:26" ht="21.75" customHeight="1">
      <c r="A36" s="58">
        <v>27</v>
      </c>
      <c r="B36" s="72"/>
      <c r="C36" s="76" t="s">
        <v>649</v>
      </c>
      <c r="D36" s="77" t="s">
        <v>648</v>
      </c>
      <c r="E36" s="75" t="s">
        <v>37</v>
      </c>
      <c r="F36" s="78"/>
      <c r="G36" s="63"/>
      <c r="H36" s="64"/>
      <c r="I36" s="64"/>
      <c r="J36" s="64"/>
      <c r="K36" s="68"/>
      <c r="L36" s="69"/>
      <c r="M36" s="64"/>
      <c r="N36" s="62"/>
      <c r="O36" s="62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1:26" ht="21.75" customHeight="1">
      <c r="A37" s="58">
        <v>28</v>
      </c>
      <c r="B37" s="72"/>
      <c r="C37" s="76" t="s">
        <v>651</v>
      </c>
      <c r="D37" s="77" t="s">
        <v>648</v>
      </c>
      <c r="E37" s="75" t="s">
        <v>37</v>
      </c>
      <c r="F37" s="78"/>
      <c r="G37" s="63"/>
      <c r="H37" s="64"/>
      <c r="I37" s="64"/>
      <c r="J37" s="64"/>
      <c r="K37" s="68"/>
      <c r="L37" s="69"/>
      <c r="M37" s="64"/>
      <c r="N37" s="62"/>
      <c r="O37" s="62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1:26" ht="21.75" customHeight="1">
      <c r="A38" s="58"/>
      <c r="B38" s="72"/>
      <c r="C38" s="79"/>
      <c r="D38" s="80"/>
      <c r="E38" s="81"/>
      <c r="F38" s="62"/>
      <c r="G38" s="63"/>
      <c r="H38" s="64"/>
      <c r="I38" s="64"/>
      <c r="J38" s="64"/>
      <c r="K38" s="68"/>
      <c r="L38" s="69"/>
      <c r="M38" s="64"/>
      <c r="N38" s="62"/>
      <c r="O38" s="62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1:26" ht="21.75" customHeight="1">
      <c r="A39" s="58"/>
      <c r="B39" s="72"/>
      <c r="C39" s="79"/>
      <c r="D39" s="80"/>
      <c r="E39" s="58"/>
      <c r="F39" s="62"/>
      <c r="G39" s="63"/>
      <c r="H39" s="64"/>
      <c r="I39" s="64"/>
      <c r="J39" s="64"/>
      <c r="K39" s="68"/>
      <c r="L39" s="69"/>
      <c r="M39" s="64"/>
      <c r="N39" s="62"/>
      <c r="O39" s="62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1:26" ht="21.75" customHeight="1">
      <c r="A40" s="58"/>
      <c r="B40" s="72"/>
      <c r="C40" s="79"/>
      <c r="D40" s="80"/>
      <c r="E40" s="58"/>
      <c r="F40" s="62"/>
      <c r="G40" s="63"/>
      <c r="H40" s="64"/>
      <c r="I40" s="64"/>
      <c r="J40" s="64"/>
      <c r="K40" s="68"/>
      <c r="L40" s="69"/>
      <c r="M40" s="64"/>
      <c r="N40" s="62"/>
      <c r="O40" s="62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1:26" ht="21.75" customHeight="1">
      <c r="A41" s="58"/>
      <c r="B41" s="59"/>
      <c r="C41" s="82"/>
      <c r="D41" s="61"/>
      <c r="E41" s="58"/>
      <c r="F41" s="62"/>
      <c r="G41" s="63"/>
      <c r="H41" s="64"/>
      <c r="I41" s="64"/>
      <c r="J41" s="64"/>
      <c r="K41" s="68"/>
      <c r="L41" s="69"/>
      <c r="M41" s="64"/>
      <c r="N41" s="62"/>
      <c r="O41" s="62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1:26" ht="21.75" customHeight="1">
      <c r="A42" s="58"/>
      <c r="B42" s="59"/>
      <c r="C42" s="60"/>
      <c r="D42" s="61"/>
      <c r="E42" s="58"/>
      <c r="F42" s="62"/>
      <c r="G42" s="63"/>
      <c r="H42" s="64"/>
      <c r="I42" s="64"/>
      <c r="J42" s="64"/>
      <c r="K42" s="68"/>
      <c r="L42" s="69"/>
      <c r="M42" s="64"/>
      <c r="N42" s="62"/>
      <c r="O42" s="62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1:26" ht="21.75" customHeight="1">
      <c r="A43" s="58"/>
      <c r="B43" s="59"/>
      <c r="C43" s="60"/>
      <c r="D43" s="61"/>
      <c r="E43" s="58"/>
      <c r="F43" s="62"/>
      <c r="G43" s="63"/>
      <c r="H43" s="64"/>
      <c r="I43" s="64"/>
      <c r="J43" s="64"/>
      <c r="K43" s="68"/>
      <c r="L43" s="69"/>
      <c r="M43" s="64"/>
      <c r="N43" s="62"/>
      <c r="O43" s="62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1:26" ht="21.75" customHeight="1">
      <c r="A44" s="58"/>
      <c r="B44" s="59"/>
      <c r="C44" s="60"/>
      <c r="D44" s="61"/>
      <c r="E44" s="58"/>
      <c r="F44" s="62"/>
      <c r="G44" s="63"/>
      <c r="H44" s="64"/>
      <c r="I44" s="64"/>
      <c r="J44" s="64"/>
      <c r="K44" s="68"/>
      <c r="L44" s="69"/>
      <c r="M44" s="64"/>
      <c r="N44" s="62"/>
      <c r="O44" s="62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1:26" ht="25.5" customHeight="1">
      <c r="A45" s="102" t="s">
        <v>378</v>
      </c>
      <c r="B45" s="103"/>
      <c r="C45" s="103"/>
      <c r="D45" s="103"/>
      <c r="E45" s="103"/>
      <c r="F45" s="104"/>
      <c r="G45" s="47">
        <f t="shared" ref="G45:M45" si="1">SUM(G10:G44)</f>
        <v>0</v>
      </c>
      <c r="H45" s="47">
        <f t="shared" si="1"/>
        <v>0</v>
      </c>
      <c r="I45" s="47">
        <f t="shared" si="1"/>
        <v>0</v>
      </c>
      <c r="J45" s="47">
        <f t="shared" si="1"/>
        <v>0</v>
      </c>
      <c r="K45" s="47">
        <f t="shared" si="1"/>
        <v>0</v>
      </c>
      <c r="L45" s="48">
        <f t="shared" si="1"/>
        <v>0</v>
      </c>
      <c r="M45" s="47">
        <f t="shared" si="1"/>
        <v>0</v>
      </c>
      <c r="N45" s="49"/>
      <c r="O45" s="49"/>
    </row>
    <row r="47" spans="1:26" ht="15.75" customHeight="1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114" t="s">
        <v>389</v>
      </c>
      <c r="L47" s="88"/>
      <c r="M47" s="88"/>
      <c r="N47" s="88"/>
      <c r="O47" s="88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6" ht="19.5" customHeight="1">
      <c r="A48" s="112" t="s">
        <v>391</v>
      </c>
      <c r="B48" s="88"/>
      <c r="C48" s="88"/>
      <c r="D48" s="112" t="s">
        <v>392</v>
      </c>
      <c r="E48" s="88"/>
      <c r="F48" s="88"/>
      <c r="G48" s="88"/>
      <c r="H48" s="112" t="s">
        <v>393</v>
      </c>
      <c r="I48" s="88"/>
      <c r="J48" s="88"/>
      <c r="K48" s="112" t="s">
        <v>395</v>
      </c>
      <c r="L48" s="88"/>
      <c r="M48" s="88"/>
      <c r="N48" s="88"/>
      <c r="O48" s="88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ht="15.75" customHeight="1">
      <c r="A49" s="113" t="s">
        <v>396</v>
      </c>
      <c r="B49" s="88"/>
      <c r="C49" s="88"/>
      <c r="D49" s="113" t="s">
        <v>396</v>
      </c>
      <c r="E49" s="88"/>
      <c r="F49" s="88"/>
      <c r="G49" s="88"/>
      <c r="H49" s="113" t="s">
        <v>396</v>
      </c>
      <c r="I49" s="88"/>
      <c r="J49" s="88"/>
      <c r="K49" s="113" t="s">
        <v>398</v>
      </c>
      <c r="L49" s="88"/>
      <c r="M49" s="88"/>
      <c r="N49" s="88"/>
      <c r="O49" s="88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ht="15.75" customHeight="1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ht="15.75" customHeight="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ht="15.75" customHeight="1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ht="15.75" customHeight="1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ht="15.75" customHeight="1"/>
    <row r="55" spans="1:26" ht="15.75" customHeight="1"/>
    <row r="56" spans="1:26" ht="15.75" customHeight="1"/>
    <row r="57" spans="1:26" ht="15.75" customHeight="1"/>
    <row r="58" spans="1:26" ht="15.75" customHeight="1"/>
    <row r="59" spans="1:26" ht="15.75" customHeight="1"/>
    <row r="60" spans="1:26" ht="15.75" customHeight="1"/>
    <row r="61" spans="1:26" ht="15.75" customHeight="1"/>
    <row r="62" spans="1:26" ht="15.75" customHeight="1"/>
    <row r="63" spans="1:26" ht="15.75" customHeight="1"/>
    <row r="64" spans="1:2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0">
    <mergeCell ref="A6:O6"/>
    <mergeCell ref="A8:F8"/>
    <mergeCell ref="M8:O8"/>
    <mergeCell ref="A48:C48"/>
    <mergeCell ref="A49:C49"/>
    <mergeCell ref="D49:G49"/>
    <mergeCell ref="H49:J49"/>
    <mergeCell ref="K49:O49"/>
    <mergeCell ref="G8:J8"/>
    <mergeCell ref="K8:L8"/>
    <mergeCell ref="A45:F45"/>
    <mergeCell ref="K47:O47"/>
    <mergeCell ref="D48:G48"/>
    <mergeCell ref="H48:J48"/>
    <mergeCell ref="K48:O48"/>
    <mergeCell ref="A1:F1"/>
    <mergeCell ref="L1:O1"/>
    <mergeCell ref="A2:F2"/>
    <mergeCell ref="A4:O4"/>
    <mergeCell ref="A5:O5"/>
  </mergeCells>
  <pageMargins left="0.75" right="0.75" top="0.7" bottom="0.7" header="0" footer="0"/>
  <pageSetup paperSize="9" scale="88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O100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D10" sqref="D10"/>
    </sheetView>
  </sheetViews>
  <sheetFormatPr defaultColWidth="14.453125" defaultRowHeight="15" customHeight="1"/>
  <cols>
    <col min="1" max="1" width="6" customWidth="1"/>
    <col min="2" max="2" width="8.7265625" hidden="1" customWidth="1"/>
    <col min="3" max="3" width="36" customWidth="1"/>
    <col min="4" max="4" width="30" customWidth="1"/>
    <col min="5" max="5" width="10" customWidth="1"/>
    <col min="6" max="6" width="22" hidden="1" customWidth="1"/>
    <col min="7" max="7" width="14" hidden="1" customWidth="1"/>
    <col min="8" max="10" width="13" hidden="1" customWidth="1"/>
    <col min="11" max="13" width="16" hidden="1" customWidth="1"/>
    <col min="14" max="14" width="32" hidden="1" customWidth="1"/>
    <col min="15" max="15" width="20" customWidth="1"/>
    <col min="16" max="26" width="8.7265625" customWidth="1"/>
  </cols>
  <sheetData>
    <row r="1" spans="1:15" ht="14.5">
      <c r="A1" s="87" t="s">
        <v>0</v>
      </c>
      <c r="B1" s="88"/>
      <c r="C1" s="88"/>
      <c r="D1" s="88"/>
      <c r="E1" s="88"/>
      <c r="F1" s="88"/>
      <c r="L1" s="89" t="s">
        <v>1</v>
      </c>
      <c r="M1" s="88"/>
      <c r="N1" s="88"/>
      <c r="O1" s="88"/>
    </row>
    <row r="2" spans="1:15" ht="14.5">
      <c r="A2" s="90" t="s">
        <v>547</v>
      </c>
      <c r="B2" s="88"/>
      <c r="C2" s="88"/>
      <c r="D2" s="88"/>
      <c r="E2" s="88"/>
      <c r="F2" s="88"/>
    </row>
    <row r="3" spans="1:15" ht="14.5" hidden="1"/>
    <row r="4" spans="1:15" ht="27.75" customHeight="1">
      <c r="A4" s="91" t="s">
        <v>3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</row>
    <row r="5" spans="1:15" ht="19.5" customHeight="1">
      <c r="A5" s="92" t="s">
        <v>548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</row>
    <row r="6" spans="1:15" ht="18" hidden="1" customHeight="1">
      <c r="A6" s="93" t="s">
        <v>549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</row>
    <row r="7" spans="1:15" ht="14.5" hidden="1"/>
    <row r="8" spans="1:15" ht="24" hidden="1" customHeight="1">
      <c r="A8" s="94" t="s">
        <v>8</v>
      </c>
      <c r="B8" s="95"/>
      <c r="C8" s="95"/>
      <c r="D8" s="95"/>
      <c r="E8" s="95"/>
      <c r="F8" s="96"/>
      <c r="G8" s="100" t="s">
        <v>11</v>
      </c>
      <c r="H8" s="95"/>
      <c r="I8" s="95"/>
      <c r="J8" s="96"/>
      <c r="K8" s="101" t="s">
        <v>12</v>
      </c>
      <c r="L8" s="96"/>
      <c r="M8" s="97"/>
      <c r="N8" s="95"/>
      <c r="O8" s="96"/>
    </row>
    <row r="9" spans="1:15" ht="27.75" customHeight="1">
      <c r="A9" s="2" t="s">
        <v>13</v>
      </c>
      <c r="B9" s="2" t="s">
        <v>14</v>
      </c>
      <c r="C9" s="2" t="s">
        <v>15</v>
      </c>
      <c r="D9" s="4" t="s">
        <v>16</v>
      </c>
      <c r="E9" s="2" t="s">
        <v>17</v>
      </c>
      <c r="F9" s="2" t="s">
        <v>18</v>
      </c>
      <c r="G9" s="6" t="s">
        <v>19</v>
      </c>
      <c r="H9" s="6" t="s">
        <v>20</v>
      </c>
      <c r="I9" s="6" t="s">
        <v>21</v>
      </c>
      <c r="J9" s="6" t="s">
        <v>22</v>
      </c>
      <c r="K9" s="8" t="s">
        <v>23</v>
      </c>
      <c r="L9" s="8" t="s">
        <v>24</v>
      </c>
      <c r="M9" s="10" t="s">
        <v>25</v>
      </c>
      <c r="N9" s="10" t="s">
        <v>26</v>
      </c>
      <c r="O9" s="10" t="s">
        <v>27</v>
      </c>
    </row>
    <row r="10" spans="1:15" ht="21.75" customHeight="1">
      <c r="A10" s="53">
        <v>1</v>
      </c>
      <c r="B10" s="54">
        <v>2562</v>
      </c>
      <c r="C10" s="65" t="s">
        <v>36</v>
      </c>
      <c r="D10" s="66" t="s">
        <v>556</v>
      </c>
      <c r="E10" s="53" t="s">
        <v>37</v>
      </c>
      <c r="F10" s="29" t="s">
        <v>558</v>
      </c>
      <c r="G10" s="33">
        <v>2</v>
      </c>
      <c r="H10" s="34">
        <v>4</v>
      </c>
      <c r="I10" s="34">
        <v>0</v>
      </c>
      <c r="J10" s="34">
        <v>0</v>
      </c>
      <c r="K10" s="32"/>
      <c r="L10" s="37" t="str">
        <f t="shared" ref="L10:L147" si="0">IF(ISBLANK(K10),"",K10-G10)</f>
        <v/>
      </c>
      <c r="M10" s="38"/>
      <c r="N10" s="29" t="s">
        <v>48</v>
      </c>
      <c r="O10" s="29" t="s">
        <v>48</v>
      </c>
    </row>
    <row r="11" spans="1:15" ht="21.75" customHeight="1">
      <c r="A11" s="57">
        <v>2</v>
      </c>
      <c r="B11" s="67">
        <v>2561</v>
      </c>
      <c r="C11" s="55" t="s">
        <v>49</v>
      </c>
      <c r="D11" s="56" t="s">
        <v>563</v>
      </c>
      <c r="E11" s="57" t="s">
        <v>37</v>
      </c>
      <c r="F11" s="26" t="s">
        <v>558</v>
      </c>
      <c r="G11" s="28">
        <v>0</v>
      </c>
      <c r="H11" s="31">
        <v>7</v>
      </c>
      <c r="I11" s="31">
        <v>1</v>
      </c>
      <c r="J11" s="31">
        <v>0</v>
      </c>
      <c r="K11" s="32"/>
      <c r="L11" s="37" t="str">
        <f t="shared" si="0"/>
        <v/>
      </c>
      <c r="M11" s="38"/>
      <c r="N11" s="29" t="s">
        <v>48</v>
      </c>
      <c r="O11" s="29" t="s">
        <v>48</v>
      </c>
    </row>
    <row r="12" spans="1:15" ht="21.75" customHeight="1">
      <c r="A12" s="53">
        <v>3</v>
      </c>
      <c r="B12" s="54">
        <v>2528</v>
      </c>
      <c r="C12" s="65" t="s">
        <v>83</v>
      </c>
      <c r="D12" s="66" t="s">
        <v>84</v>
      </c>
      <c r="E12" s="53" t="s">
        <v>37</v>
      </c>
      <c r="F12" s="29" t="s">
        <v>558</v>
      </c>
      <c r="G12" s="33">
        <v>9</v>
      </c>
      <c r="H12" s="34">
        <v>20</v>
      </c>
      <c r="I12" s="34">
        <v>1</v>
      </c>
      <c r="J12" s="34">
        <v>1</v>
      </c>
      <c r="K12" s="32"/>
      <c r="L12" s="37" t="str">
        <f t="shared" si="0"/>
        <v/>
      </c>
      <c r="M12" s="38"/>
      <c r="N12" s="29" t="s">
        <v>48</v>
      </c>
      <c r="O12" s="29" t="s">
        <v>48</v>
      </c>
    </row>
    <row r="13" spans="1:15" ht="21.75" customHeight="1">
      <c r="A13" s="57">
        <v>4</v>
      </c>
      <c r="B13" s="67">
        <v>2526</v>
      </c>
      <c r="C13" s="55" t="s">
        <v>51</v>
      </c>
      <c r="D13" s="56" t="s">
        <v>52</v>
      </c>
      <c r="E13" s="57" t="s">
        <v>38</v>
      </c>
      <c r="F13" s="26" t="s">
        <v>558</v>
      </c>
      <c r="G13" s="28">
        <v>3</v>
      </c>
      <c r="H13" s="31">
        <v>11</v>
      </c>
      <c r="I13" s="31">
        <v>2</v>
      </c>
      <c r="J13" s="31">
        <v>1</v>
      </c>
      <c r="K13" s="32"/>
      <c r="L13" s="37" t="str">
        <f t="shared" si="0"/>
        <v/>
      </c>
      <c r="M13" s="38"/>
      <c r="N13" s="29" t="s">
        <v>48</v>
      </c>
      <c r="O13" s="29" t="s">
        <v>48</v>
      </c>
    </row>
    <row r="14" spans="1:15" ht="21.75" customHeight="1">
      <c r="A14" s="53">
        <v>5</v>
      </c>
      <c r="B14" s="54">
        <v>2525</v>
      </c>
      <c r="C14" s="65" t="s">
        <v>500</v>
      </c>
      <c r="D14" s="66" t="s">
        <v>35</v>
      </c>
      <c r="E14" s="53" t="s">
        <v>38</v>
      </c>
      <c r="F14" s="29" t="s">
        <v>558</v>
      </c>
      <c r="G14" s="33">
        <v>2</v>
      </c>
      <c r="H14" s="34">
        <v>5</v>
      </c>
      <c r="I14" s="34">
        <v>3</v>
      </c>
      <c r="J14" s="34">
        <v>0</v>
      </c>
      <c r="K14" s="32"/>
      <c r="L14" s="37" t="str">
        <f t="shared" si="0"/>
        <v/>
      </c>
      <c r="M14" s="38"/>
      <c r="N14" s="29" t="s">
        <v>48</v>
      </c>
      <c r="O14" s="29" t="s">
        <v>48</v>
      </c>
    </row>
    <row r="15" spans="1:15" ht="21.75" customHeight="1">
      <c r="A15" s="57">
        <v>6</v>
      </c>
      <c r="B15" s="67">
        <v>2527</v>
      </c>
      <c r="C15" s="55" t="s">
        <v>56</v>
      </c>
      <c r="D15" s="56" t="s">
        <v>58</v>
      </c>
      <c r="E15" s="57" t="s">
        <v>38</v>
      </c>
      <c r="F15" s="26" t="s">
        <v>558</v>
      </c>
      <c r="G15" s="28">
        <v>0</v>
      </c>
      <c r="H15" s="31">
        <v>0</v>
      </c>
      <c r="I15" s="31">
        <v>0</v>
      </c>
      <c r="J15" s="31">
        <v>0</v>
      </c>
      <c r="K15" s="32"/>
      <c r="L15" s="37" t="str">
        <f t="shared" si="0"/>
        <v/>
      </c>
      <c r="M15" s="38"/>
      <c r="N15" s="29" t="s">
        <v>48</v>
      </c>
      <c r="O15" s="29" t="s">
        <v>48</v>
      </c>
    </row>
    <row r="16" spans="1:15" ht="21.75" customHeight="1">
      <c r="A16" s="53">
        <v>7</v>
      </c>
      <c r="B16" s="54">
        <v>2529</v>
      </c>
      <c r="C16" s="65" t="s">
        <v>186</v>
      </c>
      <c r="D16" s="66" t="s">
        <v>187</v>
      </c>
      <c r="E16" s="53" t="s">
        <v>44</v>
      </c>
      <c r="F16" s="29" t="s">
        <v>558</v>
      </c>
      <c r="G16" s="33">
        <v>2</v>
      </c>
      <c r="H16" s="34">
        <v>2</v>
      </c>
      <c r="I16" s="34">
        <v>0</v>
      </c>
      <c r="J16" s="34">
        <v>2</v>
      </c>
      <c r="K16" s="32"/>
      <c r="L16" s="37" t="str">
        <f t="shared" si="0"/>
        <v/>
      </c>
      <c r="M16" s="38"/>
      <c r="N16" s="29" t="s">
        <v>48</v>
      </c>
      <c r="O16" s="29" t="s">
        <v>48</v>
      </c>
    </row>
    <row r="17" spans="1:15" ht="21.75" customHeight="1">
      <c r="A17" s="57">
        <v>8</v>
      </c>
      <c r="B17" s="67">
        <v>2230</v>
      </c>
      <c r="C17" s="55" t="s">
        <v>582</v>
      </c>
      <c r="D17" s="56" t="s">
        <v>74</v>
      </c>
      <c r="E17" s="57" t="s">
        <v>44</v>
      </c>
      <c r="F17" s="26" t="s">
        <v>558</v>
      </c>
      <c r="G17" s="28">
        <v>0</v>
      </c>
      <c r="H17" s="31">
        <v>0</v>
      </c>
      <c r="I17" s="31">
        <v>0</v>
      </c>
      <c r="J17" s="31">
        <v>0</v>
      </c>
      <c r="K17" s="32"/>
      <c r="L17" s="37" t="str">
        <f t="shared" si="0"/>
        <v/>
      </c>
      <c r="M17" s="38"/>
      <c r="N17" s="29" t="s">
        <v>48</v>
      </c>
      <c r="O17" s="29" t="s">
        <v>48</v>
      </c>
    </row>
    <row r="18" spans="1:15" ht="21.75" customHeight="1">
      <c r="A18" s="53">
        <v>9</v>
      </c>
      <c r="B18" s="54">
        <v>2566</v>
      </c>
      <c r="C18" s="65" t="s">
        <v>586</v>
      </c>
      <c r="D18" s="66" t="s">
        <v>587</v>
      </c>
      <c r="E18" s="53" t="s">
        <v>37</v>
      </c>
      <c r="F18" s="29" t="s">
        <v>558</v>
      </c>
      <c r="G18" s="33">
        <v>10</v>
      </c>
      <c r="H18" s="34">
        <v>4</v>
      </c>
      <c r="I18" s="34">
        <v>0</v>
      </c>
      <c r="J18" s="34">
        <v>0</v>
      </c>
      <c r="K18" s="32"/>
      <c r="L18" s="37" t="str">
        <f t="shared" si="0"/>
        <v/>
      </c>
      <c r="M18" s="38"/>
      <c r="N18" s="29" t="s">
        <v>48</v>
      </c>
      <c r="O18" s="29" t="s">
        <v>48</v>
      </c>
    </row>
    <row r="19" spans="1:15" ht="21.75" customHeight="1">
      <c r="A19" s="57">
        <v>10</v>
      </c>
      <c r="B19" s="67">
        <v>2567</v>
      </c>
      <c r="C19" s="55" t="s">
        <v>590</v>
      </c>
      <c r="D19" s="56" t="s">
        <v>591</v>
      </c>
      <c r="E19" s="57" t="s">
        <v>37</v>
      </c>
      <c r="F19" s="26" t="s">
        <v>558</v>
      </c>
      <c r="G19" s="28">
        <v>10</v>
      </c>
      <c r="H19" s="31">
        <v>7</v>
      </c>
      <c r="I19" s="31">
        <v>0</v>
      </c>
      <c r="J19" s="31">
        <v>0</v>
      </c>
      <c r="K19" s="32"/>
      <c r="L19" s="37" t="str">
        <f t="shared" si="0"/>
        <v/>
      </c>
      <c r="M19" s="38"/>
      <c r="N19" s="29" t="s">
        <v>48</v>
      </c>
      <c r="O19" s="29" t="s">
        <v>48</v>
      </c>
    </row>
    <row r="20" spans="1:15" ht="21.75" customHeight="1">
      <c r="A20" s="53">
        <v>11</v>
      </c>
      <c r="B20" s="54">
        <v>2533</v>
      </c>
      <c r="C20" s="65" t="s">
        <v>92</v>
      </c>
      <c r="D20" s="66" t="s">
        <v>595</v>
      </c>
      <c r="E20" s="53" t="s">
        <v>38</v>
      </c>
      <c r="F20" s="29" t="s">
        <v>558</v>
      </c>
      <c r="G20" s="33">
        <v>20</v>
      </c>
      <c r="H20" s="34">
        <v>3</v>
      </c>
      <c r="I20" s="34">
        <v>0</v>
      </c>
      <c r="J20" s="34">
        <v>1</v>
      </c>
      <c r="K20" s="32"/>
      <c r="L20" s="37" t="str">
        <f t="shared" si="0"/>
        <v/>
      </c>
      <c r="M20" s="38"/>
      <c r="N20" s="29" t="s">
        <v>48</v>
      </c>
      <c r="O20" s="29" t="s">
        <v>48</v>
      </c>
    </row>
    <row r="21" spans="1:15" ht="21.75" customHeight="1">
      <c r="A21" s="57">
        <v>12</v>
      </c>
      <c r="B21" s="67">
        <v>2249</v>
      </c>
      <c r="C21" s="55" t="s">
        <v>85</v>
      </c>
      <c r="D21" s="56" t="s">
        <v>88</v>
      </c>
      <c r="E21" s="57" t="s">
        <v>599</v>
      </c>
      <c r="F21" s="26" t="s">
        <v>558</v>
      </c>
      <c r="G21" s="28">
        <v>0</v>
      </c>
      <c r="H21" s="31">
        <v>0</v>
      </c>
      <c r="I21" s="31">
        <v>0</v>
      </c>
      <c r="J21" s="31">
        <v>0</v>
      </c>
      <c r="K21" s="32"/>
      <c r="L21" s="37" t="str">
        <f t="shared" si="0"/>
        <v/>
      </c>
      <c r="M21" s="38"/>
      <c r="N21" s="29" t="s">
        <v>48</v>
      </c>
      <c r="O21" s="29" t="s">
        <v>48</v>
      </c>
    </row>
    <row r="22" spans="1:15" ht="21.75" customHeight="1">
      <c r="A22" s="53">
        <v>13</v>
      </c>
      <c r="B22" s="54">
        <v>2532</v>
      </c>
      <c r="C22" s="65" t="s">
        <v>85</v>
      </c>
      <c r="D22" s="66" t="s">
        <v>88</v>
      </c>
      <c r="E22" s="53" t="s">
        <v>38</v>
      </c>
      <c r="F22" s="29" t="s">
        <v>558</v>
      </c>
      <c r="G22" s="33">
        <v>10</v>
      </c>
      <c r="H22" s="34">
        <v>26</v>
      </c>
      <c r="I22" s="34">
        <v>2</v>
      </c>
      <c r="J22" s="34">
        <v>10</v>
      </c>
      <c r="K22" s="32"/>
      <c r="L22" s="37" t="str">
        <f t="shared" si="0"/>
        <v/>
      </c>
      <c r="M22" s="38"/>
      <c r="N22" s="29" t="s">
        <v>48</v>
      </c>
      <c r="O22" s="29" t="s">
        <v>48</v>
      </c>
    </row>
    <row r="23" spans="1:15" ht="21.75" customHeight="1">
      <c r="A23" s="57">
        <v>14</v>
      </c>
      <c r="B23" s="67">
        <v>2531</v>
      </c>
      <c r="C23" s="55" t="s">
        <v>164</v>
      </c>
      <c r="D23" s="56" t="s">
        <v>609</v>
      </c>
      <c r="E23" s="57" t="s">
        <v>37</v>
      </c>
      <c r="F23" s="26" t="s">
        <v>558</v>
      </c>
      <c r="G23" s="28">
        <v>5</v>
      </c>
      <c r="H23" s="31">
        <v>5</v>
      </c>
      <c r="I23" s="31">
        <v>0</v>
      </c>
      <c r="J23" s="31">
        <v>2</v>
      </c>
      <c r="K23" s="32"/>
      <c r="L23" s="37" t="str">
        <f t="shared" si="0"/>
        <v/>
      </c>
      <c r="M23" s="38"/>
      <c r="N23" s="29" t="s">
        <v>48</v>
      </c>
      <c r="O23" s="29" t="s">
        <v>48</v>
      </c>
    </row>
    <row r="24" spans="1:15" ht="21.75" customHeight="1">
      <c r="A24" s="53">
        <v>15</v>
      </c>
      <c r="B24" s="54">
        <v>2568</v>
      </c>
      <c r="C24" s="65" t="s">
        <v>612</v>
      </c>
      <c r="D24" s="66" t="s">
        <v>614</v>
      </c>
      <c r="E24" s="53" t="s">
        <v>106</v>
      </c>
      <c r="F24" s="29" t="s">
        <v>558</v>
      </c>
      <c r="G24" s="33">
        <v>77</v>
      </c>
      <c r="H24" s="34">
        <v>176</v>
      </c>
      <c r="I24" s="34">
        <v>23</v>
      </c>
      <c r="J24" s="34">
        <v>36</v>
      </c>
      <c r="K24" s="32"/>
      <c r="L24" s="37" t="str">
        <f t="shared" si="0"/>
        <v/>
      </c>
      <c r="M24" s="38"/>
      <c r="N24" s="29" t="s">
        <v>48</v>
      </c>
      <c r="O24" s="29" t="s">
        <v>48</v>
      </c>
    </row>
    <row r="25" spans="1:15" ht="21.75" customHeight="1">
      <c r="A25" s="57">
        <v>16</v>
      </c>
      <c r="B25" s="67">
        <v>2569</v>
      </c>
      <c r="C25" s="55" t="s">
        <v>617</v>
      </c>
      <c r="D25" s="56" t="s">
        <v>105</v>
      </c>
      <c r="E25" s="57" t="s">
        <v>106</v>
      </c>
      <c r="F25" s="26" t="s">
        <v>558</v>
      </c>
      <c r="G25" s="28">
        <v>181</v>
      </c>
      <c r="H25" s="31">
        <v>164</v>
      </c>
      <c r="I25" s="31">
        <v>19</v>
      </c>
      <c r="J25" s="31">
        <v>19</v>
      </c>
      <c r="K25" s="32"/>
      <c r="L25" s="37" t="str">
        <f t="shared" si="0"/>
        <v/>
      </c>
      <c r="M25" s="38"/>
      <c r="N25" s="29" t="s">
        <v>48</v>
      </c>
      <c r="O25" s="29" t="s">
        <v>48</v>
      </c>
    </row>
    <row r="26" spans="1:15" ht="21.75" customHeight="1">
      <c r="A26" s="53">
        <v>17</v>
      </c>
      <c r="B26" s="54">
        <v>2226</v>
      </c>
      <c r="C26" s="65" t="s">
        <v>128</v>
      </c>
      <c r="D26" s="66" t="s">
        <v>623</v>
      </c>
      <c r="E26" s="53" t="s">
        <v>37</v>
      </c>
      <c r="F26" s="29" t="s">
        <v>558</v>
      </c>
      <c r="G26" s="33">
        <v>0</v>
      </c>
      <c r="H26" s="34">
        <v>0</v>
      </c>
      <c r="I26" s="34">
        <v>0</v>
      </c>
      <c r="J26" s="34">
        <v>0</v>
      </c>
      <c r="K26" s="32"/>
      <c r="L26" s="37" t="str">
        <f t="shared" si="0"/>
        <v/>
      </c>
      <c r="M26" s="38"/>
      <c r="N26" s="29" t="s">
        <v>48</v>
      </c>
      <c r="O26" s="29" t="s">
        <v>48</v>
      </c>
    </row>
    <row r="27" spans="1:15" ht="21.75" customHeight="1">
      <c r="A27" s="57">
        <v>18</v>
      </c>
      <c r="B27" s="67">
        <v>2570</v>
      </c>
      <c r="C27" s="55" t="s">
        <v>128</v>
      </c>
      <c r="D27" s="56" t="s">
        <v>627</v>
      </c>
      <c r="E27" s="57" t="s">
        <v>37</v>
      </c>
      <c r="F27" s="26" t="s">
        <v>558</v>
      </c>
      <c r="G27" s="28">
        <v>3</v>
      </c>
      <c r="H27" s="31">
        <v>58</v>
      </c>
      <c r="I27" s="31">
        <v>1</v>
      </c>
      <c r="J27" s="31">
        <v>3</v>
      </c>
      <c r="K27" s="32"/>
      <c r="L27" s="37" t="str">
        <f t="shared" si="0"/>
        <v/>
      </c>
      <c r="M27" s="38"/>
      <c r="N27" s="29" t="s">
        <v>48</v>
      </c>
      <c r="O27" s="29" t="s">
        <v>48</v>
      </c>
    </row>
    <row r="28" spans="1:15" ht="21.75" customHeight="1">
      <c r="A28" s="53">
        <v>19</v>
      </c>
      <c r="B28" s="54">
        <v>2530</v>
      </c>
      <c r="C28" s="65" t="s">
        <v>630</v>
      </c>
      <c r="D28" s="66" t="s">
        <v>632</v>
      </c>
      <c r="E28" s="53" t="s">
        <v>37</v>
      </c>
      <c r="F28" s="29" t="s">
        <v>558</v>
      </c>
      <c r="G28" s="33">
        <v>40</v>
      </c>
      <c r="H28" s="34">
        <v>43</v>
      </c>
      <c r="I28" s="34">
        <v>0</v>
      </c>
      <c r="J28" s="34">
        <v>6</v>
      </c>
      <c r="K28" s="32"/>
      <c r="L28" s="37" t="str">
        <f t="shared" si="0"/>
        <v/>
      </c>
      <c r="M28" s="38"/>
      <c r="N28" s="29" t="s">
        <v>48</v>
      </c>
      <c r="O28" s="29" t="s">
        <v>48</v>
      </c>
    </row>
    <row r="29" spans="1:15" ht="21.75" customHeight="1">
      <c r="A29" s="57">
        <v>20</v>
      </c>
      <c r="B29" s="67">
        <v>2251</v>
      </c>
      <c r="C29" s="55" t="s">
        <v>481</v>
      </c>
      <c r="D29" s="56" t="s">
        <v>634</v>
      </c>
      <c r="E29" s="57" t="s">
        <v>525</v>
      </c>
      <c r="F29" s="26" t="s">
        <v>558</v>
      </c>
      <c r="G29" s="28">
        <v>0</v>
      </c>
      <c r="H29" s="31">
        <v>0</v>
      </c>
      <c r="I29" s="31">
        <v>0</v>
      </c>
      <c r="J29" s="31">
        <v>0</v>
      </c>
      <c r="K29" s="32"/>
      <c r="L29" s="37" t="str">
        <f t="shared" si="0"/>
        <v/>
      </c>
      <c r="M29" s="38"/>
      <c r="N29" s="29" t="s">
        <v>48</v>
      </c>
      <c r="O29" s="29" t="s">
        <v>48</v>
      </c>
    </row>
    <row r="30" spans="1:15" ht="21.75" customHeight="1">
      <c r="A30" s="53">
        <v>21</v>
      </c>
      <c r="B30" s="54">
        <v>2563</v>
      </c>
      <c r="C30" s="65" t="s">
        <v>481</v>
      </c>
      <c r="D30" s="66" t="s">
        <v>641</v>
      </c>
      <c r="E30" s="53" t="s">
        <v>37</v>
      </c>
      <c r="F30" s="29" t="s">
        <v>558</v>
      </c>
      <c r="G30" s="33">
        <v>200</v>
      </c>
      <c r="H30" s="34">
        <v>31</v>
      </c>
      <c r="I30" s="34">
        <v>0</v>
      </c>
      <c r="J30" s="34">
        <v>16</v>
      </c>
      <c r="K30" s="32"/>
      <c r="L30" s="37" t="str">
        <f t="shared" si="0"/>
        <v/>
      </c>
      <c r="M30" s="38"/>
      <c r="N30" s="29" t="s">
        <v>48</v>
      </c>
      <c r="O30" s="29" t="s">
        <v>48</v>
      </c>
    </row>
    <row r="31" spans="1:15" ht="21.75" customHeight="1">
      <c r="A31" s="57">
        <v>22</v>
      </c>
      <c r="B31" s="67">
        <v>2564</v>
      </c>
      <c r="C31" s="55" t="s">
        <v>481</v>
      </c>
      <c r="D31" s="56" t="s">
        <v>645</v>
      </c>
      <c r="E31" s="57" t="s">
        <v>37</v>
      </c>
      <c r="F31" s="26" t="s">
        <v>558</v>
      </c>
      <c r="G31" s="28">
        <v>300</v>
      </c>
      <c r="H31" s="31">
        <v>30</v>
      </c>
      <c r="I31" s="31">
        <v>0</v>
      </c>
      <c r="J31" s="31">
        <v>4</v>
      </c>
      <c r="K31" s="32"/>
      <c r="L31" s="37" t="str">
        <f t="shared" si="0"/>
        <v/>
      </c>
      <c r="M31" s="38"/>
      <c r="N31" s="29" t="s">
        <v>48</v>
      </c>
      <c r="O31" s="29" t="s">
        <v>48</v>
      </c>
    </row>
    <row r="32" spans="1:15" ht="21.75" customHeight="1">
      <c r="A32" s="53">
        <v>23</v>
      </c>
      <c r="B32" s="54">
        <v>2565</v>
      </c>
      <c r="C32" s="65" t="s">
        <v>481</v>
      </c>
      <c r="D32" s="66" t="s">
        <v>650</v>
      </c>
      <c r="E32" s="53" t="s">
        <v>37</v>
      </c>
      <c r="F32" s="29" t="s">
        <v>558</v>
      </c>
      <c r="G32" s="33">
        <v>170</v>
      </c>
      <c r="H32" s="34">
        <v>141</v>
      </c>
      <c r="I32" s="34">
        <v>30</v>
      </c>
      <c r="J32" s="34">
        <v>10</v>
      </c>
      <c r="K32" s="32"/>
      <c r="L32" s="37" t="str">
        <f t="shared" si="0"/>
        <v/>
      </c>
      <c r="M32" s="38"/>
      <c r="N32" s="29" t="s">
        <v>48</v>
      </c>
      <c r="O32" s="29" t="s">
        <v>48</v>
      </c>
    </row>
    <row r="33" spans="1:15" ht="21.75" customHeight="1">
      <c r="A33" s="57">
        <v>24</v>
      </c>
      <c r="B33" s="67">
        <v>2571</v>
      </c>
      <c r="C33" s="55" t="s">
        <v>652</v>
      </c>
      <c r="D33" s="56" t="s">
        <v>653</v>
      </c>
      <c r="E33" s="57" t="s">
        <v>654</v>
      </c>
      <c r="F33" s="26" t="s">
        <v>558</v>
      </c>
      <c r="G33" s="28">
        <v>55</v>
      </c>
      <c r="H33" s="31">
        <v>71</v>
      </c>
      <c r="I33" s="31">
        <v>45</v>
      </c>
      <c r="J33" s="31">
        <v>0</v>
      </c>
      <c r="K33" s="32"/>
      <c r="L33" s="37" t="str">
        <f t="shared" si="0"/>
        <v/>
      </c>
      <c r="M33" s="38"/>
      <c r="N33" s="29" t="s">
        <v>48</v>
      </c>
      <c r="O33" s="29" t="s">
        <v>48</v>
      </c>
    </row>
    <row r="34" spans="1:15" ht="21.75" customHeight="1">
      <c r="A34" s="53">
        <v>25</v>
      </c>
      <c r="B34" s="54">
        <v>2572</v>
      </c>
      <c r="C34" s="65" t="s">
        <v>655</v>
      </c>
      <c r="D34" s="66" t="s">
        <v>656</v>
      </c>
      <c r="E34" s="53" t="s">
        <v>654</v>
      </c>
      <c r="F34" s="29" t="s">
        <v>558</v>
      </c>
      <c r="G34" s="33">
        <v>54</v>
      </c>
      <c r="H34" s="34">
        <v>197</v>
      </c>
      <c r="I34" s="34">
        <v>46</v>
      </c>
      <c r="J34" s="34">
        <v>0</v>
      </c>
      <c r="K34" s="32"/>
      <c r="L34" s="37" t="str">
        <f t="shared" si="0"/>
        <v/>
      </c>
      <c r="M34" s="38"/>
      <c r="N34" s="29" t="s">
        <v>48</v>
      </c>
      <c r="O34" s="29" t="s">
        <v>48</v>
      </c>
    </row>
    <row r="35" spans="1:15" ht="21.75" customHeight="1">
      <c r="A35" s="57">
        <v>26</v>
      </c>
      <c r="B35" s="67">
        <v>2580</v>
      </c>
      <c r="C35" s="55" t="s">
        <v>659</v>
      </c>
      <c r="D35" s="56" t="s">
        <v>252</v>
      </c>
      <c r="E35" s="57" t="s">
        <v>106</v>
      </c>
      <c r="F35" s="26" t="s">
        <v>558</v>
      </c>
      <c r="G35" s="28">
        <v>13</v>
      </c>
      <c r="H35" s="31">
        <v>343</v>
      </c>
      <c r="I35" s="31">
        <v>27</v>
      </c>
      <c r="J35" s="31">
        <v>2</v>
      </c>
      <c r="K35" s="32"/>
      <c r="L35" s="37" t="str">
        <f t="shared" si="0"/>
        <v/>
      </c>
      <c r="M35" s="38"/>
      <c r="N35" s="29" t="s">
        <v>48</v>
      </c>
      <c r="O35" s="29" t="s">
        <v>48</v>
      </c>
    </row>
    <row r="36" spans="1:15" ht="21.75" customHeight="1">
      <c r="A36" s="53">
        <v>27</v>
      </c>
      <c r="B36" s="54">
        <v>2573</v>
      </c>
      <c r="C36" s="65" t="s">
        <v>229</v>
      </c>
      <c r="D36" s="66" t="s">
        <v>230</v>
      </c>
      <c r="E36" s="53" t="s">
        <v>231</v>
      </c>
      <c r="F36" s="29" t="s">
        <v>558</v>
      </c>
      <c r="G36" s="33">
        <v>40</v>
      </c>
      <c r="H36" s="34">
        <v>4</v>
      </c>
      <c r="I36" s="34">
        <v>0</v>
      </c>
      <c r="J36" s="34">
        <v>4</v>
      </c>
      <c r="K36" s="32"/>
      <c r="L36" s="37" t="str">
        <f t="shared" si="0"/>
        <v/>
      </c>
      <c r="M36" s="38"/>
      <c r="N36" s="29" t="s">
        <v>48</v>
      </c>
      <c r="O36" s="29" t="s">
        <v>48</v>
      </c>
    </row>
    <row r="37" spans="1:15" ht="21.75" customHeight="1">
      <c r="A37" s="57">
        <v>28</v>
      </c>
      <c r="B37" s="67">
        <v>2574</v>
      </c>
      <c r="C37" s="55" t="s">
        <v>229</v>
      </c>
      <c r="D37" s="56" t="s">
        <v>235</v>
      </c>
      <c r="E37" s="57" t="s">
        <v>231</v>
      </c>
      <c r="F37" s="26" t="s">
        <v>558</v>
      </c>
      <c r="G37" s="28">
        <v>60</v>
      </c>
      <c r="H37" s="31">
        <v>28</v>
      </c>
      <c r="I37" s="31">
        <v>0</v>
      </c>
      <c r="J37" s="31">
        <v>7</v>
      </c>
      <c r="K37" s="32"/>
      <c r="L37" s="37" t="str">
        <f t="shared" si="0"/>
        <v/>
      </c>
      <c r="M37" s="38"/>
      <c r="N37" s="29" t="s">
        <v>48</v>
      </c>
      <c r="O37" s="29" t="s">
        <v>48</v>
      </c>
    </row>
    <row r="38" spans="1:15" ht="21.75" customHeight="1">
      <c r="A38" s="53">
        <v>29</v>
      </c>
      <c r="B38" s="54">
        <v>2534</v>
      </c>
      <c r="C38" s="65" t="s">
        <v>460</v>
      </c>
      <c r="D38" s="66" t="s">
        <v>661</v>
      </c>
      <c r="E38" s="53" t="s">
        <v>662</v>
      </c>
      <c r="F38" s="29" t="s">
        <v>558</v>
      </c>
      <c r="G38" s="33">
        <v>42</v>
      </c>
      <c r="H38" s="34">
        <v>1103</v>
      </c>
      <c r="I38" s="34">
        <v>58</v>
      </c>
      <c r="J38" s="34">
        <v>17</v>
      </c>
      <c r="K38" s="32"/>
      <c r="L38" s="37" t="str">
        <f t="shared" si="0"/>
        <v/>
      </c>
      <c r="M38" s="38"/>
      <c r="N38" s="29" t="s">
        <v>48</v>
      </c>
      <c r="O38" s="29" t="s">
        <v>48</v>
      </c>
    </row>
    <row r="39" spans="1:15" ht="21.75" customHeight="1">
      <c r="A39" s="57">
        <v>30</v>
      </c>
      <c r="B39" s="67">
        <v>2535</v>
      </c>
      <c r="C39" s="55" t="s">
        <v>663</v>
      </c>
      <c r="D39" s="56" t="s">
        <v>664</v>
      </c>
      <c r="E39" s="57" t="s">
        <v>111</v>
      </c>
      <c r="F39" s="26" t="s">
        <v>558</v>
      </c>
      <c r="G39" s="28">
        <v>76</v>
      </c>
      <c r="H39" s="31">
        <v>680</v>
      </c>
      <c r="I39" s="31">
        <v>124</v>
      </c>
      <c r="J39" s="31">
        <v>70</v>
      </c>
      <c r="K39" s="32"/>
      <c r="L39" s="37" t="str">
        <f t="shared" si="0"/>
        <v/>
      </c>
      <c r="M39" s="38"/>
      <c r="N39" s="29" t="s">
        <v>48</v>
      </c>
      <c r="O39" s="29" t="s">
        <v>48</v>
      </c>
    </row>
    <row r="40" spans="1:15" ht="21.75" customHeight="1">
      <c r="A40" s="53">
        <v>31</v>
      </c>
      <c r="B40" s="54">
        <v>2536</v>
      </c>
      <c r="C40" s="65" t="s">
        <v>663</v>
      </c>
      <c r="D40" s="66" t="s">
        <v>665</v>
      </c>
      <c r="E40" s="53" t="s">
        <v>111</v>
      </c>
      <c r="F40" s="29" t="s">
        <v>558</v>
      </c>
      <c r="G40" s="33">
        <v>3</v>
      </c>
      <c r="H40" s="34">
        <v>999</v>
      </c>
      <c r="I40" s="34">
        <v>47</v>
      </c>
      <c r="J40" s="34">
        <v>0</v>
      </c>
      <c r="K40" s="32"/>
      <c r="L40" s="37" t="str">
        <f t="shared" si="0"/>
        <v/>
      </c>
      <c r="M40" s="38"/>
      <c r="N40" s="29" t="s">
        <v>48</v>
      </c>
      <c r="O40" s="29" t="s">
        <v>48</v>
      </c>
    </row>
    <row r="41" spans="1:15" ht="21.75" customHeight="1">
      <c r="A41" s="57">
        <v>32</v>
      </c>
      <c r="B41" s="67">
        <v>2537</v>
      </c>
      <c r="C41" s="55" t="s">
        <v>663</v>
      </c>
      <c r="D41" s="56" t="s">
        <v>666</v>
      </c>
      <c r="E41" s="57" t="s">
        <v>111</v>
      </c>
      <c r="F41" s="26" t="s">
        <v>558</v>
      </c>
      <c r="G41" s="28">
        <v>50</v>
      </c>
      <c r="H41" s="31">
        <v>20</v>
      </c>
      <c r="I41" s="31">
        <v>0</v>
      </c>
      <c r="J41" s="31">
        <v>0</v>
      </c>
      <c r="K41" s="32"/>
      <c r="L41" s="37" t="str">
        <f t="shared" si="0"/>
        <v/>
      </c>
      <c r="M41" s="38"/>
      <c r="N41" s="29" t="s">
        <v>48</v>
      </c>
      <c r="O41" s="29" t="s">
        <v>48</v>
      </c>
    </row>
    <row r="42" spans="1:15" ht="21.75" customHeight="1">
      <c r="A42" s="53">
        <v>33</v>
      </c>
      <c r="B42" s="54">
        <v>2538</v>
      </c>
      <c r="C42" s="65" t="s">
        <v>663</v>
      </c>
      <c r="D42" s="66" t="s">
        <v>667</v>
      </c>
      <c r="E42" s="53" t="s">
        <v>111</v>
      </c>
      <c r="F42" s="29" t="s">
        <v>558</v>
      </c>
      <c r="G42" s="33">
        <v>20</v>
      </c>
      <c r="H42" s="34">
        <v>150</v>
      </c>
      <c r="I42" s="34">
        <v>30</v>
      </c>
      <c r="J42" s="34">
        <v>15</v>
      </c>
      <c r="K42" s="32"/>
      <c r="L42" s="37" t="str">
        <f t="shared" si="0"/>
        <v/>
      </c>
      <c r="M42" s="38"/>
      <c r="N42" s="29" t="s">
        <v>48</v>
      </c>
      <c r="O42" s="29" t="s">
        <v>48</v>
      </c>
    </row>
    <row r="43" spans="1:15" ht="21.75" customHeight="1">
      <c r="A43" s="57">
        <v>34</v>
      </c>
      <c r="B43" s="67">
        <v>2539</v>
      </c>
      <c r="C43" s="55" t="s">
        <v>663</v>
      </c>
      <c r="D43" s="56" t="s">
        <v>668</v>
      </c>
      <c r="E43" s="57" t="s">
        <v>111</v>
      </c>
      <c r="F43" s="26" t="s">
        <v>558</v>
      </c>
      <c r="G43" s="28">
        <v>50</v>
      </c>
      <c r="H43" s="31">
        <v>0</v>
      </c>
      <c r="I43" s="31">
        <v>0</v>
      </c>
      <c r="J43" s="31">
        <v>0</v>
      </c>
      <c r="K43" s="32"/>
      <c r="L43" s="37" t="str">
        <f t="shared" si="0"/>
        <v/>
      </c>
      <c r="M43" s="38"/>
      <c r="N43" s="29" t="s">
        <v>48</v>
      </c>
      <c r="O43" s="29" t="s">
        <v>48</v>
      </c>
    </row>
    <row r="44" spans="1:15" ht="21.75" customHeight="1">
      <c r="A44" s="53">
        <v>35</v>
      </c>
      <c r="B44" s="54">
        <v>2575</v>
      </c>
      <c r="C44" s="65" t="s">
        <v>663</v>
      </c>
      <c r="D44" s="66" t="s">
        <v>669</v>
      </c>
      <c r="E44" s="53" t="s">
        <v>111</v>
      </c>
      <c r="F44" s="29" t="s">
        <v>558</v>
      </c>
      <c r="G44" s="33">
        <v>617</v>
      </c>
      <c r="H44" s="34">
        <v>2224</v>
      </c>
      <c r="I44" s="34">
        <v>383</v>
      </c>
      <c r="J44" s="34">
        <v>105</v>
      </c>
      <c r="K44" s="32"/>
      <c r="L44" s="37" t="str">
        <f t="shared" si="0"/>
        <v/>
      </c>
      <c r="M44" s="38"/>
      <c r="N44" s="29" t="s">
        <v>48</v>
      </c>
      <c r="O44" s="29" t="s">
        <v>48</v>
      </c>
    </row>
    <row r="45" spans="1:15" ht="21.75" customHeight="1">
      <c r="A45" s="57">
        <v>36</v>
      </c>
      <c r="B45" s="67">
        <v>2576</v>
      </c>
      <c r="C45" s="55" t="s">
        <v>663</v>
      </c>
      <c r="D45" s="56" t="s">
        <v>670</v>
      </c>
      <c r="E45" s="57" t="s">
        <v>111</v>
      </c>
      <c r="F45" s="26" t="s">
        <v>558</v>
      </c>
      <c r="G45" s="28">
        <v>0</v>
      </c>
      <c r="H45" s="31">
        <v>1416</v>
      </c>
      <c r="I45" s="31">
        <v>0</v>
      </c>
      <c r="J45" s="31">
        <v>0</v>
      </c>
      <c r="K45" s="32"/>
      <c r="L45" s="37" t="str">
        <f t="shared" si="0"/>
        <v/>
      </c>
      <c r="M45" s="38"/>
      <c r="N45" s="29" t="s">
        <v>48</v>
      </c>
      <c r="O45" s="29" t="s">
        <v>48</v>
      </c>
    </row>
    <row r="46" spans="1:15" ht="21.75" customHeight="1">
      <c r="A46" s="53">
        <v>37</v>
      </c>
      <c r="B46" s="54">
        <v>2577</v>
      </c>
      <c r="C46" s="65" t="s">
        <v>663</v>
      </c>
      <c r="D46" s="66" t="s">
        <v>671</v>
      </c>
      <c r="E46" s="53" t="s">
        <v>111</v>
      </c>
      <c r="F46" s="29" t="s">
        <v>558</v>
      </c>
      <c r="G46" s="33">
        <v>0</v>
      </c>
      <c r="H46" s="34">
        <v>104</v>
      </c>
      <c r="I46" s="34">
        <v>0</v>
      </c>
      <c r="J46" s="34">
        <v>0</v>
      </c>
      <c r="K46" s="32"/>
      <c r="L46" s="37" t="str">
        <f t="shared" si="0"/>
        <v/>
      </c>
      <c r="M46" s="38"/>
      <c r="N46" s="29" t="s">
        <v>48</v>
      </c>
      <c r="O46" s="29" t="s">
        <v>48</v>
      </c>
    </row>
    <row r="47" spans="1:15" ht="21.75" customHeight="1">
      <c r="A47" s="57">
        <v>38</v>
      </c>
      <c r="B47" s="67">
        <v>2578</v>
      </c>
      <c r="C47" s="55" t="s">
        <v>243</v>
      </c>
      <c r="D47" s="56" t="s">
        <v>672</v>
      </c>
      <c r="E47" s="57" t="s">
        <v>111</v>
      </c>
      <c r="F47" s="26" t="s">
        <v>558</v>
      </c>
      <c r="G47" s="28">
        <v>164</v>
      </c>
      <c r="H47" s="31">
        <v>60</v>
      </c>
      <c r="I47" s="31">
        <v>36</v>
      </c>
      <c r="J47" s="31">
        <v>20</v>
      </c>
      <c r="K47" s="32"/>
      <c r="L47" s="37" t="str">
        <f t="shared" si="0"/>
        <v/>
      </c>
      <c r="M47" s="38"/>
      <c r="N47" s="29" t="s">
        <v>48</v>
      </c>
      <c r="O47" s="29" t="s">
        <v>48</v>
      </c>
    </row>
    <row r="48" spans="1:15" ht="21.75" customHeight="1">
      <c r="A48" s="53">
        <v>39</v>
      </c>
      <c r="B48" s="54">
        <v>2579</v>
      </c>
      <c r="C48" s="65" t="s">
        <v>247</v>
      </c>
      <c r="D48" s="66" t="s">
        <v>673</v>
      </c>
      <c r="E48" s="53" t="s">
        <v>111</v>
      </c>
      <c r="F48" s="29" t="s">
        <v>558</v>
      </c>
      <c r="G48" s="33">
        <v>163</v>
      </c>
      <c r="H48" s="34">
        <v>60</v>
      </c>
      <c r="I48" s="34">
        <v>37</v>
      </c>
      <c r="J48" s="34">
        <v>20</v>
      </c>
      <c r="K48" s="32"/>
      <c r="L48" s="37" t="str">
        <f t="shared" si="0"/>
        <v/>
      </c>
      <c r="M48" s="38"/>
      <c r="N48" s="29" t="s">
        <v>48</v>
      </c>
      <c r="O48" s="29" t="s">
        <v>48</v>
      </c>
    </row>
    <row r="49" spans="1:15" ht="21.75" customHeight="1">
      <c r="A49" s="57">
        <v>40</v>
      </c>
      <c r="B49" s="67">
        <v>2589</v>
      </c>
      <c r="C49" s="55" t="s">
        <v>256</v>
      </c>
      <c r="D49" s="56" t="s">
        <v>674</v>
      </c>
      <c r="E49" s="57" t="s">
        <v>259</v>
      </c>
      <c r="F49" s="26" t="s">
        <v>558</v>
      </c>
      <c r="G49" s="28">
        <v>48</v>
      </c>
      <c r="H49" s="31">
        <v>23</v>
      </c>
      <c r="I49" s="31">
        <v>2</v>
      </c>
      <c r="J49" s="31">
        <v>2</v>
      </c>
      <c r="K49" s="32"/>
      <c r="L49" s="37" t="str">
        <f t="shared" si="0"/>
        <v/>
      </c>
      <c r="M49" s="38"/>
      <c r="N49" s="29" t="s">
        <v>48</v>
      </c>
      <c r="O49" s="29" t="s">
        <v>48</v>
      </c>
    </row>
    <row r="50" spans="1:15" ht="21.75" customHeight="1">
      <c r="A50" s="53">
        <v>41</v>
      </c>
      <c r="B50" s="54">
        <v>2590</v>
      </c>
      <c r="C50" s="65" t="s">
        <v>256</v>
      </c>
      <c r="D50" s="66" t="s">
        <v>675</v>
      </c>
      <c r="E50" s="53" t="s">
        <v>259</v>
      </c>
      <c r="F50" s="29" t="s">
        <v>558</v>
      </c>
      <c r="G50" s="33">
        <v>50</v>
      </c>
      <c r="H50" s="34">
        <v>0</v>
      </c>
      <c r="I50" s="34">
        <v>0</v>
      </c>
      <c r="J50" s="34">
        <v>0</v>
      </c>
      <c r="K50" s="32"/>
      <c r="L50" s="37" t="str">
        <f t="shared" si="0"/>
        <v/>
      </c>
      <c r="M50" s="38"/>
      <c r="N50" s="29" t="s">
        <v>48</v>
      </c>
      <c r="O50" s="29" t="s">
        <v>48</v>
      </c>
    </row>
    <row r="51" spans="1:15" ht="21.75" customHeight="1">
      <c r="A51" s="57">
        <v>42</v>
      </c>
      <c r="B51" s="67">
        <v>2248</v>
      </c>
      <c r="C51" s="55" t="s">
        <v>676</v>
      </c>
      <c r="D51" s="56" t="s">
        <v>261</v>
      </c>
      <c r="E51" s="57" t="s">
        <v>259</v>
      </c>
      <c r="F51" s="26" t="s">
        <v>558</v>
      </c>
      <c r="G51" s="28">
        <v>0</v>
      </c>
      <c r="H51" s="31">
        <v>0</v>
      </c>
      <c r="I51" s="31">
        <v>0</v>
      </c>
      <c r="J51" s="31">
        <v>0</v>
      </c>
      <c r="K51" s="32"/>
      <c r="L51" s="37" t="str">
        <f t="shared" si="0"/>
        <v/>
      </c>
      <c r="M51" s="38"/>
      <c r="N51" s="29" t="s">
        <v>48</v>
      </c>
      <c r="O51" s="29" t="s">
        <v>48</v>
      </c>
    </row>
    <row r="52" spans="1:15" ht="21.75" customHeight="1">
      <c r="A52" s="53">
        <v>43</v>
      </c>
      <c r="B52" s="54">
        <v>2591</v>
      </c>
      <c r="C52" s="65" t="s">
        <v>267</v>
      </c>
      <c r="D52" s="66" t="s">
        <v>677</v>
      </c>
      <c r="E52" s="53" t="s">
        <v>259</v>
      </c>
      <c r="F52" s="29" t="s">
        <v>558</v>
      </c>
      <c r="G52" s="33">
        <v>40</v>
      </c>
      <c r="H52" s="34">
        <v>30</v>
      </c>
      <c r="I52" s="34">
        <v>0</v>
      </c>
      <c r="J52" s="34">
        <v>10</v>
      </c>
      <c r="K52" s="32"/>
      <c r="L52" s="37" t="str">
        <f t="shared" si="0"/>
        <v/>
      </c>
      <c r="M52" s="38"/>
      <c r="N52" s="29" t="s">
        <v>48</v>
      </c>
      <c r="O52" s="29" t="s">
        <v>48</v>
      </c>
    </row>
    <row r="53" spans="1:15" ht="21.75" customHeight="1">
      <c r="A53" s="57">
        <v>44</v>
      </c>
      <c r="B53" s="67">
        <v>2545</v>
      </c>
      <c r="C53" s="55" t="s">
        <v>541</v>
      </c>
      <c r="D53" s="56" t="s">
        <v>48</v>
      </c>
      <c r="E53" s="57" t="s">
        <v>605</v>
      </c>
      <c r="F53" s="26" t="s">
        <v>558</v>
      </c>
      <c r="G53" s="28">
        <v>0</v>
      </c>
      <c r="H53" s="31">
        <v>0</v>
      </c>
      <c r="I53" s="31">
        <v>0</v>
      </c>
      <c r="J53" s="31">
        <v>0</v>
      </c>
      <c r="K53" s="32"/>
      <c r="L53" s="37" t="str">
        <f t="shared" si="0"/>
        <v/>
      </c>
      <c r="M53" s="38"/>
      <c r="N53" s="29" t="s">
        <v>48</v>
      </c>
      <c r="O53" s="29" t="s">
        <v>48</v>
      </c>
    </row>
    <row r="54" spans="1:15" ht="21.75" customHeight="1">
      <c r="A54" s="53">
        <v>45</v>
      </c>
      <c r="B54" s="54">
        <v>2546</v>
      </c>
      <c r="C54" s="65" t="s">
        <v>678</v>
      </c>
      <c r="D54" s="66" t="s">
        <v>679</v>
      </c>
      <c r="E54" s="53" t="s">
        <v>37</v>
      </c>
      <c r="F54" s="29" t="s">
        <v>558</v>
      </c>
      <c r="G54" s="33">
        <v>20</v>
      </c>
      <c r="H54" s="34">
        <v>42</v>
      </c>
      <c r="I54" s="34">
        <v>0</v>
      </c>
      <c r="J54" s="34">
        <v>0</v>
      </c>
      <c r="K54" s="32"/>
      <c r="L54" s="37" t="str">
        <f t="shared" si="0"/>
        <v/>
      </c>
      <c r="M54" s="38"/>
      <c r="N54" s="29" t="s">
        <v>48</v>
      </c>
      <c r="O54" s="29" t="s">
        <v>48</v>
      </c>
    </row>
    <row r="55" spans="1:15" ht="21.75" customHeight="1">
      <c r="A55" s="57">
        <v>46</v>
      </c>
      <c r="B55" s="67">
        <v>2547</v>
      </c>
      <c r="C55" s="55" t="s">
        <v>680</v>
      </c>
      <c r="D55" s="56" t="s">
        <v>679</v>
      </c>
      <c r="E55" s="57" t="s">
        <v>37</v>
      </c>
      <c r="F55" s="26" t="s">
        <v>558</v>
      </c>
      <c r="G55" s="28">
        <v>20</v>
      </c>
      <c r="H55" s="31">
        <v>10</v>
      </c>
      <c r="I55" s="31">
        <v>0</v>
      </c>
      <c r="J55" s="31">
        <v>0</v>
      </c>
      <c r="K55" s="32"/>
      <c r="L55" s="37" t="str">
        <f t="shared" si="0"/>
        <v/>
      </c>
      <c r="M55" s="38"/>
      <c r="N55" s="29" t="s">
        <v>48</v>
      </c>
      <c r="O55" s="29" t="s">
        <v>48</v>
      </c>
    </row>
    <row r="56" spans="1:15" ht="21.75" customHeight="1">
      <c r="A56" s="53">
        <v>47</v>
      </c>
      <c r="B56" s="54">
        <v>2231</v>
      </c>
      <c r="C56" s="65" t="s">
        <v>681</v>
      </c>
      <c r="D56" s="66" t="s">
        <v>682</v>
      </c>
      <c r="E56" s="53" t="s">
        <v>37</v>
      </c>
      <c r="F56" s="29" t="s">
        <v>558</v>
      </c>
      <c r="G56" s="33">
        <v>0</v>
      </c>
      <c r="H56" s="34">
        <v>0</v>
      </c>
      <c r="I56" s="34">
        <v>0</v>
      </c>
      <c r="J56" s="34">
        <v>0</v>
      </c>
      <c r="K56" s="32"/>
      <c r="L56" s="37" t="str">
        <f t="shared" si="0"/>
        <v/>
      </c>
      <c r="M56" s="38"/>
      <c r="N56" s="29" t="s">
        <v>48</v>
      </c>
      <c r="O56" s="29" t="s">
        <v>48</v>
      </c>
    </row>
    <row r="57" spans="1:15" ht="21.75" customHeight="1">
      <c r="A57" s="57">
        <v>48</v>
      </c>
      <c r="B57" s="67">
        <v>2593</v>
      </c>
      <c r="C57" s="55" t="s">
        <v>283</v>
      </c>
      <c r="D57" s="56" t="s">
        <v>683</v>
      </c>
      <c r="E57" s="57" t="s">
        <v>37</v>
      </c>
      <c r="F57" s="26" t="s">
        <v>558</v>
      </c>
      <c r="G57" s="28">
        <v>20</v>
      </c>
      <c r="H57" s="31">
        <v>20</v>
      </c>
      <c r="I57" s="31">
        <v>0</v>
      </c>
      <c r="J57" s="31">
        <v>10</v>
      </c>
      <c r="K57" s="32"/>
      <c r="L57" s="37" t="str">
        <f t="shared" si="0"/>
        <v/>
      </c>
      <c r="M57" s="38"/>
      <c r="N57" s="29" t="s">
        <v>48</v>
      </c>
      <c r="O57" s="29" t="s">
        <v>48</v>
      </c>
    </row>
    <row r="58" spans="1:15" ht="21.75" customHeight="1">
      <c r="A58" s="53">
        <v>49</v>
      </c>
      <c r="B58" s="54">
        <v>2592</v>
      </c>
      <c r="C58" s="65" t="s">
        <v>684</v>
      </c>
      <c r="D58" s="66" t="s">
        <v>266</v>
      </c>
      <c r="E58" s="53" t="s">
        <v>37</v>
      </c>
      <c r="F58" s="29" t="s">
        <v>558</v>
      </c>
      <c r="G58" s="33">
        <v>9</v>
      </c>
      <c r="H58" s="34">
        <v>154</v>
      </c>
      <c r="I58" s="34">
        <v>11</v>
      </c>
      <c r="J58" s="34">
        <v>3</v>
      </c>
      <c r="K58" s="32"/>
      <c r="L58" s="37" t="str">
        <f t="shared" si="0"/>
        <v/>
      </c>
      <c r="M58" s="38"/>
      <c r="N58" s="29" t="s">
        <v>48</v>
      </c>
      <c r="O58" s="29" t="s">
        <v>48</v>
      </c>
    </row>
    <row r="59" spans="1:15" ht="21.75" customHeight="1">
      <c r="A59" s="57">
        <v>50</v>
      </c>
      <c r="B59" s="67">
        <v>2233</v>
      </c>
      <c r="C59" s="55" t="s">
        <v>685</v>
      </c>
      <c r="D59" s="56" t="s">
        <v>686</v>
      </c>
      <c r="E59" s="57" t="s">
        <v>687</v>
      </c>
      <c r="F59" s="26" t="s">
        <v>558</v>
      </c>
      <c r="G59" s="28">
        <v>0</v>
      </c>
      <c r="H59" s="31">
        <v>0</v>
      </c>
      <c r="I59" s="31">
        <v>0</v>
      </c>
      <c r="J59" s="31">
        <v>0</v>
      </c>
      <c r="K59" s="32"/>
      <c r="L59" s="37" t="str">
        <f t="shared" si="0"/>
        <v/>
      </c>
      <c r="M59" s="38"/>
      <c r="N59" s="29" t="s">
        <v>48</v>
      </c>
      <c r="O59" s="29" t="s">
        <v>48</v>
      </c>
    </row>
    <row r="60" spans="1:15" ht="21.75" customHeight="1">
      <c r="A60" s="53">
        <v>51</v>
      </c>
      <c r="B60" s="54">
        <v>2259</v>
      </c>
      <c r="C60" s="65" t="s">
        <v>685</v>
      </c>
      <c r="D60" s="66" t="s">
        <v>686</v>
      </c>
      <c r="E60" s="53" t="s">
        <v>37</v>
      </c>
      <c r="F60" s="29" t="s">
        <v>558</v>
      </c>
      <c r="G60" s="33">
        <v>0</v>
      </c>
      <c r="H60" s="34">
        <v>0</v>
      </c>
      <c r="I60" s="34">
        <v>0</v>
      </c>
      <c r="J60" s="34">
        <v>0</v>
      </c>
      <c r="K60" s="32"/>
      <c r="L60" s="37" t="str">
        <f t="shared" si="0"/>
        <v/>
      </c>
      <c r="M60" s="38"/>
      <c r="N60" s="29" t="s">
        <v>48</v>
      </c>
      <c r="O60" s="29" t="s">
        <v>48</v>
      </c>
    </row>
    <row r="61" spans="1:15" ht="21.75" customHeight="1">
      <c r="A61" s="57">
        <v>52</v>
      </c>
      <c r="B61" s="67">
        <v>2260</v>
      </c>
      <c r="C61" s="55" t="s">
        <v>685</v>
      </c>
      <c r="D61" s="56" t="s">
        <v>686</v>
      </c>
      <c r="E61" s="57" t="s">
        <v>37</v>
      </c>
      <c r="F61" s="26" t="s">
        <v>558</v>
      </c>
      <c r="G61" s="28">
        <v>0</v>
      </c>
      <c r="H61" s="31">
        <v>0</v>
      </c>
      <c r="I61" s="31">
        <v>0</v>
      </c>
      <c r="J61" s="31">
        <v>0</v>
      </c>
      <c r="K61" s="32"/>
      <c r="L61" s="37" t="str">
        <f t="shared" si="0"/>
        <v/>
      </c>
      <c r="M61" s="38"/>
      <c r="N61" s="29" t="s">
        <v>48</v>
      </c>
      <c r="O61" s="29" t="s">
        <v>48</v>
      </c>
    </row>
    <row r="62" spans="1:15" ht="21.75" customHeight="1">
      <c r="A62" s="53">
        <v>53</v>
      </c>
      <c r="B62" s="54">
        <v>2261</v>
      </c>
      <c r="C62" s="65" t="s">
        <v>685</v>
      </c>
      <c r="D62" s="66" t="s">
        <v>686</v>
      </c>
      <c r="E62" s="53" t="s">
        <v>37</v>
      </c>
      <c r="F62" s="29" t="s">
        <v>558</v>
      </c>
      <c r="G62" s="33">
        <v>0</v>
      </c>
      <c r="H62" s="34">
        <v>0</v>
      </c>
      <c r="I62" s="34">
        <v>0</v>
      </c>
      <c r="J62" s="34">
        <v>0</v>
      </c>
      <c r="K62" s="32"/>
      <c r="L62" s="37" t="str">
        <f t="shared" si="0"/>
        <v/>
      </c>
      <c r="M62" s="38"/>
      <c r="N62" s="29" t="s">
        <v>48</v>
      </c>
      <c r="O62" s="29" t="s">
        <v>48</v>
      </c>
    </row>
    <row r="63" spans="1:15" ht="21.75" customHeight="1">
      <c r="A63" s="57">
        <v>54</v>
      </c>
      <c r="B63" s="67">
        <v>2594</v>
      </c>
      <c r="C63" s="55" t="s">
        <v>688</v>
      </c>
      <c r="D63" s="56" t="s">
        <v>689</v>
      </c>
      <c r="E63" s="57" t="s">
        <v>275</v>
      </c>
      <c r="F63" s="26" t="s">
        <v>558</v>
      </c>
      <c r="G63" s="28">
        <v>165</v>
      </c>
      <c r="H63" s="31">
        <v>198</v>
      </c>
      <c r="I63" s="31">
        <v>35</v>
      </c>
      <c r="J63" s="31">
        <v>40</v>
      </c>
      <c r="K63" s="32"/>
      <c r="L63" s="37" t="str">
        <f t="shared" si="0"/>
        <v/>
      </c>
      <c r="M63" s="38"/>
      <c r="N63" s="29" t="s">
        <v>48</v>
      </c>
      <c r="O63" s="29" t="s">
        <v>48</v>
      </c>
    </row>
    <row r="64" spans="1:15" ht="21.75" customHeight="1">
      <c r="A64" s="53">
        <v>55</v>
      </c>
      <c r="B64" s="54">
        <v>2269</v>
      </c>
      <c r="C64" s="65" t="s">
        <v>690</v>
      </c>
      <c r="D64" s="66" t="s">
        <v>48</v>
      </c>
      <c r="E64" s="53" t="s">
        <v>691</v>
      </c>
      <c r="F64" s="29" t="s">
        <v>558</v>
      </c>
      <c r="G64" s="33">
        <v>0</v>
      </c>
      <c r="H64" s="34">
        <v>0</v>
      </c>
      <c r="I64" s="34">
        <v>0</v>
      </c>
      <c r="J64" s="34">
        <v>0</v>
      </c>
      <c r="K64" s="32"/>
      <c r="L64" s="37" t="str">
        <f t="shared" si="0"/>
        <v/>
      </c>
      <c r="M64" s="38"/>
      <c r="N64" s="29" t="s">
        <v>48</v>
      </c>
      <c r="O64" s="29" t="s">
        <v>48</v>
      </c>
    </row>
    <row r="65" spans="1:15" ht="21.75" customHeight="1">
      <c r="A65" s="57">
        <v>56</v>
      </c>
      <c r="B65" s="67">
        <v>2550</v>
      </c>
      <c r="C65" s="55" t="s">
        <v>690</v>
      </c>
      <c r="D65" s="56" t="s">
        <v>692</v>
      </c>
      <c r="E65" s="57" t="s">
        <v>691</v>
      </c>
      <c r="F65" s="26" t="s">
        <v>558</v>
      </c>
      <c r="G65" s="28">
        <v>10</v>
      </c>
      <c r="H65" s="31">
        <v>5</v>
      </c>
      <c r="I65" s="31">
        <v>0</v>
      </c>
      <c r="J65" s="31">
        <v>5</v>
      </c>
      <c r="K65" s="32"/>
      <c r="L65" s="37" t="str">
        <f t="shared" si="0"/>
        <v/>
      </c>
      <c r="M65" s="38"/>
      <c r="N65" s="29" t="s">
        <v>48</v>
      </c>
      <c r="O65" s="29" t="s">
        <v>48</v>
      </c>
    </row>
    <row r="66" spans="1:15" ht="21.75" customHeight="1">
      <c r="A66" s="53">
        <v>57</v>
      </c>
      <c r="B66" s="54">
        <v>2239</v>
      </c>
      <c r="C66" s="65" t="s">
        <v>693</v>
      </c>
      <c r="D66" s="66" t="s">
        <v>48</v>
      </c>
      <c r="E66" s="53" t="s">
        <v>691</v>
      </c>
      <c r="F66" s="29" t="s">
        <v>558</v>
      </c>
      <c r="G66" s="33">
        <v>0</v>
      </c>
      <c r="H66" s="34">
        <v>0</v>
      </c>
      <c r="I66" s="34">
        <v>0</v>
      </c>
      <c r="J66" s="34">
        <v>0</v>
      </c>
      <c r="K66" s="32"/>
      <c r="L66" s="37" t="str">
        <f t="shared" si="0"/>
        <v/>
      </c>
      <c r="M66" s="38"/>
      <c r="N66" s="29" t="s">
        <v>48</v>
      </c>
      <c r="O66" s="29" t="s">
        <v>48</v>
      </c>
    </row>
    <row r="67" spans="1:15" ht="21.75" customHeight="1">
      <c r="A67" s="57">
        <v>58</v>
      </c>
      <c r="B67" s="67">
        <v>2240</v>
      </c>
      <c r="C67" s="55" t="s">
        <v>693</v>
      </c>
      <c r="D67" s="56" t="s">
        <v>48</v>
      </c>
      <c r="E67" s="57" t="s">
        <v>691</v>
      </c>
      <c r="F67" s="26" t="s">
        <v>558</v>
      </c>
      <c r="G67" s="28">
        <v>0</v>
      </c>
      <c r="H67" s="31">
        <v>0</v>
      </c>
      <c r="I67" s="31">
        <v>0</v>
      </c>
      <c r="J67" s="31">
        <v>0</v>
      </c>
      <c r="K67" s="32"/>
      <c r="L67" s="37" t="str">
        <f t="shared" si="0"/>
        <v/>
      </c>
      <c r="M67" s="38"/>
      <c r="N67" s="29" t="s">
        <v>48</v>
      </c>
      <c r="O67" s="29" t="s">
        <v>48</v>
      </c>
    </row>
    <row r="68" spans="1:15" ht="21.75" customHeight="1">
      <c r="A68" s="53">
        <v>59</v>
      </c>
      <c r="B68" s="54">
        <v>2270</v>
      </c>
      <c r="C68" s="65" t="s">
        <v>693</v>
      </c>
      <c r="D68" s="66" t="s">
        <v>48</v>
      </c>
      <c r="E68" s="53" t="s">
        <v>691</v>
      </c>
      <c r="F68" s="29" t="s">
        <v>558</v>
      </c>
      <c r="G68" s="33">
        <v>0</v>
      </c>
      <c r="H68" s="34">
        <v>0</v>
      </c>
      <c r="I68" s="34">
        <v>0</v>
      </c>
      <c r="J68" s="34">
        <v>0</v>
      </c>
      <c r="K68" s="32"/>
      <c r="L68" s="37" t="str">
        <f t="shared" si="0"/>
        <v/>
      </c>
      <c r="M68" s="38"/>
      <c r="N68" s="29" t="s">
        <v>48</v>
      </c>
      <c r="O68" s="29" t="s">
        <v>48</v>
      </c>
    </row>
    <row r="69" spans="1:15" ht="21.75" customHeight="1">
      <c r="A69" s="57">
        <v>60</v>
      </c>
      <c r="B69" s="67">
        <v>2551</v>
      </c>
      <c r="C69" s="55" t="s">
        <v>539</v>
      </c>
      <c r="D69" s="56" t="s">
        <v>694</v>
      </c>
      <c r="E69" s="57" t="s">
        <v>691</v>
      </c>
      <c r="F69" s="26" t="s">
        <v>558</v>
      </c>
      <c r="G69" s="28">
        <v>60</v>
      </c>
      <c r="H69" s="31">
        <v>64</v>
      </c>
      <c r="I69" s="31">
        <v>0</v>
      </c>
      <c r="J69" s="31">
        <v>60</v>
      </c>
      <c r="K69" s="32"/>
      <c r="L69" s="37" t="str">
        <f t="shared" si="0"/>
        <v/>
      </c>
      <c r="M69" s="38"/>
      <c r="N69" s="29" t="s">
        <v>48</v>
      </c>
      <c r="O69" s="29" t="s">
        <v>48</v>
      </c>
    </row>
    <row r="70" spans="1:15" ht="21.75" customHeight="1">
      <c r="A70" s="53">
        <v>61</v>
      </c>
      <c r="B70" s="54">
        <v>2596</v>
      </c>
      <c r="C70" s="65" t="s">
        <v>296</v>
      </c>
      <c r="D70" s="66" t="s">
        <v>297</v>
      </c>
      <c r="E70" s="53" t="s">
        <v>106</v>
      </c>
      <c r="F70" s="29" t="s">
        <v>558</v>
      </c>
      <c r="G70" s="33">
        <v>39</v>
      </c>
      <c r="H70" s="34">
        <v>2</v>
      </c>
      <c r="I70" s="34">
        <v>1</v>
      </c>
      <c r="J70" s="34">
        <v>0</v>
      </c>
      <c r="K70" s="32"/>
      <c r="L70" s="37" t="str">
        <f t="shared" si="0"/>
        <v/>
      </c>
      <c r="M70" s="38"/>
      <c r="N70" s="29" t="s">
        <v>48</v>
      </c>
      <c r="O70" s="29" t="s">
        <v>48</v>
      </c>
    </row>
    <row r="71" spans="1:15" ht="21.75" customHeight="1">
      <c r="A71" s="57">
        <v>62</v>
      </c>
      <c r="B71" s="67">
        <v>2595</v>
      </c>
      <c r="C71" s="55" t="s">
        <v>695</v>
      </c>
      <c r="D71" s="56" t="s">
        <v>696</v>
      </c>
      <c r="E71" s="57" t="s">
        <v>37</v>
      </c>
      <c r="F71" s="26" t="s">
        <v>558</v>
      </c>
      <c r="G71" s="28">
        <v>80</v>
      </c>
      <c r="H71" s="31">
        <v>10</v>
      </c>
      <c r="I71" s="31">
        <v>0</v>
      </c>
      <c r="J71" s="31">
        <v>0</v>
      </c>
      <c r="K71" s="32"/>
      <c r="L71" s="37" t="str">
        <f t="shared" si="0"/>
        <v/>
      </c>
      <c r="M71" s="38"/>
      <c r="N71" s="29" t="s">
        <v>48</v>
      </c>
      <c r="O71" s="29" t="s">
        <v>48</v>
      </c>
    </row>
    <row r="72" spans="1:15" ht="21.75" customHeight="1">
      <c r="A72" s="53">
        <v>63</v>
      </c>
      <c r="B72" s="54">
        <v>2549</v>
      </c>
      <c r="C72" s="65" t="s">
        <v>303</v>
      </c>
      <c r="D72" s="66" t="s">
        <v>697</v>
      </c>
      <c r="E72" s="53" t="s">
        <v>37</v>
      </c>
      <c r="F72" s="29" t="s">
        <v>558</v>
      </c>
      <c r="G72" s="33">
        <v>5</v>
      </c>
      <c r="H72" s="34">
        <v>5</v>
      </c>
      <c r="I72" s="34">
        <v>0</v>
      </c>
      <c r="J72" s="34">
        <v>0</v>
      </c>
      <c r="K72" s="32"/>
      <c r="L72" s="37" t="str">
        <f t="shared" si="0"/>
        <v/>
      </c>
      <c r="M72" s="38"/>
      <c r="N72" s="29" t="s">
        <v>48</v>
      </c>
      <c r="O72" s="29" t="s">
        <v>48</v>
      </c>
    </row>
    <row r="73" spans="1:15" ht="21.75" customHeight="1">
      <c r="A73" s="57">
        <v>64</v>
      </c>
      <c r="B73" s="67">
        <v>2548</v>
      </c>
      <c r="C73" s="55" t="s">
        <v>698</v>
      </c>
      <c r="D73" s="56" t="s">
        <v>699</v>
      </c>
      <c r="E73" s="57" t="s">
        <v>275</v>
      </c>
      <c r="F73" s="26" t="s">
        <v>558</v>
      </c>
      <c r="G73" s="28">
        <v>97</v>
      </c>
      <c r="H73" s="31">
        <v>204</v>
      </c>
      <c r="I73" s="31">
        <v>103</v>
      </c>
      <c r="J73" s="31">
        <v>15</v>
      </c>
      <c r="K73" s="32"/>
      <c r="L73" s="37" t="str">
        <f t="shared" si="0"/>
        <v/>
      </c>
      <c r="M73" s="38"/>
      <c r="N73" s="29" t="s">
        <v>48</v>
      </c>
      <c r="O73" s="29" t="s">
        <v>48</v>
      </c>
    </row>
    <row r="74" spans="1:15" ht="21.75" customHeight="1">
      <c r="A74" s="53">
        <v>65</v>
      </c>
      <c r="B74" s="54">
        <v>2247</v>
      </c>
      <c r="C74" s="65" t="s">
        <v>700</v>
      </c>
      <c r="D74" s="66" t="s">
        <v>327</v>
      </c>
      <c r="E74" s="53" t="s">
        <v>259</v>
      </c>
      <c r="F74" s="29" t="s">
        <v>558</v>
      </c>
      <c r="G74" s="33">
        <v>0</v>
      </c>
      <c r="H74" s="34">
        <v>0</v>
      </c>
      <c r="I74" s="34">
        <v>0</v>
      </c>
      <c r="J74" s="34">
        <v>0</v>
      </c>
      <c r="K74" s="32"/>
      <c r="L74" s="37" t="str">
        <f t="shared" si="0"/>
        <v/>
      </c>
      <c r="M74" s="38"/>
      <c r="N74" s="29" t="s">
        <v>48</v>
      </c>
      <c r="O74" s="29" t="s">
        <v>48</v>
      </c>
    </row>
    <row r="75" spans="1:15" ht="21.75" customHeight="1">
      <c r="A75" s="57">
        <v>66</v>
      </c>
      <c r="B75" s="67">
        <v>2603</v>
      </c>
      <c r="C75" s="55" t="s">
        <v>326</v>
      </c>
      <c r="D75" s="56" t="s">
        <v>701</v>
      </c>
      <c r="E75" s="57" t="s">
        <v>259</v>
      </c>
      <c r="F75" s="26" t="s">
        <v>558</v>
      </c>
      <c r="G75" s="28">
        <v>18</v>
      </c>
      <c r="H75" s="31">
        <v>14</v>
      </c>
      <c r="I75" s="31">
        <v>2</v>
      </c>
      <c r="J75" s="31">
        <v>2</v>
      </c>
      <c r="K75" s="32"/>
      <c r="L75" s="37" t="str">
        <f t="shared" si="0"/>
        <v/>
      </c>
      <c r="M75" s="38"/>
      <c r="N75" s="29" t="s">
        <v>48</v>
      </c>
      <c r="O75" s="29" t="s">
        <v>48</v>
      </c>
    </row>
    <row r="76" spans="1:15" ht="21.75" customHeight="1">
      <c r="A76" s="53">
        <v>67</v>
      </c>
      <c r="B76" s="54">
        <v>2554</v>
      </c>
      <c r="C76" s="65" t="s">
        <v>702</v>
      </c>
      <c r="D76" s="66" t="s">
        <v>333</v>
      </c>
      <c r="E76" s="53" t="s">
        <v>703</v>
      </c>
      <c r="F76" s="29" t="s">
        <v>558</v>
      </c>
      <c r="G76" s="33">
        <v>8</v>
      </c>
      <c r="H76" s="34">
        <v>33</v>
      </c>
      <c r="I76" s="34">
        <v>2</v>
      </c>
      <c r="J76" s="34">
        <v>4</v>
      </c>
      <c r="K76" s="32"/>
      <c r="L76" s="37" t="str">
        <f t="shared" si="0"/>
        <v/>
      </c>
      <c r="M76" s="38"/>
      <c r="N76" s="29" t="s">
        <v>48</v>
      </c>
      <c r="O76" s="29" t="s">
        <v>48</v>
      </c>
    </row>
    <row r="77" spans="1:15" ht="21.75" customHeight="1">
      <c r="A77" s="57">
        <v>68</v>
      </c>
      <c r="B77" s="67">
        <v>2601</v>
      </c>
      <c r="C77" s="55" t="s">
        <v>704</v>
      </c>
      <c r="D77" s="56" t="s">
        <v>337</v>
      </c>
      <c r="E77" s="57" t="s">
        <v>37</v>
      </c>
      <c r="F77" s="26" t="s">
        <v>558</v>
      </c>
      <c r="G77" s="28">
        <v>59</v>
      </c>
      <c r="H77" s="31">
        <v>59</v>
      </c>
      <c r="I77" s="31">
        <v>1</v>
      </c>
      <c r="J77" s="31">
        <v>16</v>
      </c>
      <c r="K77" s="32"/>
      <c r="L77" s="37" t="str">
        <f t="shared" si="0"/>
        <v/>
      </c>
      <c r="M77" s="38"/>
      <c r="N77" s="29" t="s">
        <v>48</v>
      </c>
      <c r="O77" s="29" t="s">
        <v>48</v>
      </c>
    </row>
    <row r="78" spans="1:15" ht="21.75" customHeight="1">
      <c r="A78" s="53">
        <v>69</v>
      </c>
      <c r="B78" s="54">
        <v>2602</v>
      </c>
      <c r="C78" s="65" t="s">
        <v>705</v>
      </c>
      <c r="D78" s="66" t="s">
        <v>706</v>
      </c>
      <c r="E78" s="53" t="s">
        <v>334</v>
      </c>
      <c r="F78" s="29" t="s">
        <v>558</v>
      </c>
      <c r="G78" s="33">
        <v>40</v>
      </c>
      <c r="H78" s="34">
        <v>0</v>
      </c>
      <c r="I78" s="34">
        <v>0</v>
      </c>
      <c r="J78" s="34">
        <v>0</v>
      </c>
      <c r="K78" s="32"/>
      <c r="L78" s="37" t="str">
        <f t="shared" si="0"/>
        <v/>
      </c>
      <c r="M78" s="38"/>
      <c r="N78" s="29" t="s">
        <v>48</v>
      </c>
      <c r="O78" s="29" t="s">
        <v>48</v>
      </c>
    </row>
    <row r="79" spans="1:15" ht="21.75" customHeight="1">
      <c r="A79" s="57">
        <v>70</v>
      </c>
      <c r="B79" s="67">
        <v>2604</v>
      </c>
      <c r="C79" s="55" t="s">
        <v>311</v>
      </c>
      <c r="D79" s="56" t="s">
        <v>707</v>
      </c>
      <c r="E79" s="57" t="s">
        <v>37</v>
      </c>
      <c r="F79" s="26" t="s">
        <v>558</v>
      </c>
      <c r="G79" s="28">
        <v>40</v>
      </c>
      <c r="H79" s="31">
        <v>15</v>
      </c>
      <c r="I79" s="31">
        <v>0</v>
      </c>
      <c r="J79" s="31">
        <v>0</v>
      </c>
      <c r="K79" s="32"/>
      <c r="L79" s="37" t="str">
        <f t="shared" si="0"/>
        <v/>
      </c>
      <c r="M79" s="38"/>
      <c r="N79" s="29" t="s">
        <v>48</v>
      </c>
      <c r="O79" s="29" t="s">
        <v>48</v>
      </c>
    </row>
    <row r="80" spans="1:15" ht="21.75" customHeight="1">
      <c r="A80" s="53">
        <v>71</v>
      </c>
      <c r="B80" s="54">
        <v>2605</v>
      </c>
      <c r="C80" s="65" t="s">
        <v>316</v>
      </c>
      <c r="D80" s="66" t="s">
        <v>708</v>
      </c>
      <c r="E80" s="53" t="s">
        <v>37</v>
      </c>
      <c r="F80" s="29" t="s">
        <v>558</v>
      </c>
      <c r="G80" s="33">
        <v>20</v>
      </c>
      <c r="H80" s="34">
        <v>10</v>
      </c>
      <c r="I80" s="34">
        <v>0</v>
      </c>
      <c r="J80" s="34">
        <v>0</v>
      </c>
      <c r="K80" s="32"/>
      <c r="L80" s="37" t="str">
        <f t="shared" si="0"/>
        <v/>
      </c>
      <c r="M80" s="38"/>
      <c r="N80" s="29" t="s">
        <v>48</v>
      </c>
      <c r="O80" s="29" t="s">
        <v>48</v>
      </c>
    </row>
    <row r="81" spans="1:15" ht="21.75" customHeight="1">
      <c r="A81" s="57">
        <v>72</v>
      </c>
      <c r="B81" s="67">
        <v>2606</v>
      </c>
      <c r="C81" s="55" t="s">
        <v>709</v>
      </c>
      <c r="D81" s="56" t="s">
        <v>710</v>
      </c>
      <c r="E81" s="57" t="s">
        <v>37</v>
      </c>
      <c r="F81" s="26" t="s">
        <v>558</v>
      </c>
      <c r="G81" s="28">
        <v>40</v>
      </c>
      <c r="H81" s="31">
        <v>15</v>
      </c>
      <c r="I81" s="31">
        <v>0</v>
      </c>
      <c r="J81" s="31">
        <v>0</v>
      </c>
      <c r="K81" s="32"/>
      <c r="L81" s="37" t="str">
        <f t="shared" si="0"/>
        <v/>
      </c>
      <c r="M81" s="38"/>
      <c r="N81" s="29" t="s">
        <v>48</v>
      </c>
      <c r="O81" s="29" t="s">
        <v>48</v>
      </c>
    </row>
    <row r="82" spans="1:15" ht="21.75" customHeight="1">
      <c r="A82" s="53">
        <v>73</v>
      </c>
      <c r="B82" s="54">
        <v>2272</v>
      </c>
      <c r="C82" s="65" t="s">
        <v>711</v>
      </c>
      <c r="D82" s="66" t="s">
        <v>712</v>
      </c>
      <c r="E82" s="53" t="s">
        <v>687</v>
      </c>
      <c r="F82" s="29" t="s">
        <v>558</v>
      </c>
      <c r="G82" s="33">
        <v>0</v>
      </c>
      <c r="H82" s="34">
        <v>0</v>
      </c>
      <c r="I82" s="34">
        <v>0</v>
      </c>
      <c r="J82" s="34">
        <v>0</v>
      </c>
      <c r="K82" s="32"/>
      <c r="L82" s="37" t="str">
        <f t="shared" si="0"/>
        <v/>
      </c>
      <c r="M82" s="38"/>
      <c r="N82" s="29" t="s">
        <v>48</v>
      </c>
      <c r="O82" s="29" t="s">
        <v>48</v>
      </c>
    </row>
    <row r="83" spans="1:15" ht="21.75" customHeight="1">
      <c r="A83" s="57">
        <v>74</v>
      </c>
      <c r="B83" s="67">
        <v>2608</v>
      </c>
      <c r="C83" s="55" t="s">
        <v>713</v>
      </c>
      <c r="D83" s="56" t="s">
        <v>714</v>
      </c>
      <c r="E83" s="57" t="s">
        <v>275</v>
      </c>
      <c r="F83" s="26" t="s">
        <v>558</v>
      </c>
      <c r="G83" s="28">
        <v>7</v>
      </c>
      <c r="H83" s="31">
        <v>44</v>
      </c>
      <c r="I83" s="31">
        <v>14</v>
      </c>
      <c r="J83" s="31">
        <v>6</v>
      </c>
      <c r="K83" s="32"/>
      <c r="L83" s="37" t="str">
        <f t="shared" si="0"/>
        <v/>
      </c>
      <c r="M83" s="38"/>
      <c r="N83" s="29" t="s">
        <v>48</v>
      </c>
      <c r="O83" s="29" t="s">
        <v>48</v>
      </c>
    </row>
    <row r="84" spans="1:15" ht="21.75" customHeight="1">
      <c r="A84" s="53">
        <v>75</v>
      </c>
      <c r="B84" s="54">
        <v>2607</v>
      </c>
      <c r="C84" s="65" t="s">
        <v>715</v>
      </c>
      <c r="D84" s="66" t="s">
        <v>346</v>
      </c>
      <c r="E84" s="53" t="s">
        <v>106</v>
      </c>
      <c r="F84" s="29" t="s">
        <v>558</v>
      </c>
      <c r="G84" s="33">
        <v>40</v>
      </c>
      <c r="H84" s="34">
        <v>49</v>
      </c>
      <c r="I84" s="34">
        <v>0</v>
      </c>
      <c r="J84" s="34">
        <v>4</v>
      </c>
      <c r="K84" s="32"/>
      <c r="L84" s="37" t="str">
        <f t="shared" si="0"/>
        <v/>
      </c>
      <c r="M84" s="38"/>
      <c r="N84" s="29" t="s">
        <v>48</v>
      </c>
      <c r="O84" s="29" t="s">
        <v>48</v>
      </c>
    </row>
    <row r="85" spans="1:15" ht="21.75" customHeight="1">
      <c r="A85" s="57">
        <v>76</v>
      </c>
      <c r="B85" s="67">
        <v>2621</v>
      </c>
      <c r="C85" s="55" t="s">
        <v>263</v>
      </c>
      <c r="D85" s="56" t="s">
        <v>716</v>
      </c>
      <c r="E85" s="57" t="s">
        <v>31</v>
      </c>
      <c r="F85" s="26" t="s">
        <v>558</v>
      </c>
      <c r="G85" s="28">
        <v>200</v>
      </c>
      <c r="H85" s="31">
        <v>20</v>
      </c>
      <c r="I85" s="31">
        <v>0</v>
      </c>
      <c r="J85" s="31">
        <v>0</v>
      </c>
      <c r="K85" s="32"/>
      <c r="L85" s="37" t="str">
        <f t="shared" si="0"/>
        <v/>
      </c>
      <c r="M85" s="38"/>
      <c r="N85" s="29" t="s">
        <v>48</v>
      </c>
      <c r="O85" s="29" t="s">
        <v>48</v>
      </c>
    </row>
    <row r="86" spans="1:15" ht="21.75" customHeight="1">
      <c r="A86" s="53">
        <v>77</v>
      </c>
      <c r="B86" s="54">
        <v>2622</v>
      </c>
      <c r="C86" s="65" t="s">
        <v>263</v>
      </c>
      <c r="D86" s="66" t="s">
        <v>717</v>
      </c>
      <c r="E86" s="53" t="s">
        <v>31</v>
      </c>
      <c r="F86" s="29" t="s">
        <v>558</v>
      </c>
      <c r="G86" s="33">
        <v>161</v>
      </c>
      <c r="H86" s="34">
        <v>69</v>
      </c>
      <c r="I86" s="34">
        <v>39</v>
      </c>
      <c r="J86" s="34">
        <v>0</v>
      </c>
      <c r="K86" s="32"/>
      <c r="L86" s="37" t="str">
        <f t="shared" si="0"/>
        <v/>
      </c>
      <c r="M86" s="38"/>
      <c r="N86" s="29" t="s">
        <v>48</v>
      </c>
      <c r="O86" s="29" t="s">
        <v>48</v>
      </c>
    </row>
    <row r="87" spans="1:15" ht="21.75" customHeight="1">
      <c r="A87" s="57">
        <v>78</v>
      </c>
      <c r="B87" s="67">
        <v>2242</v>
      </c>
      <c r="C87" s="55" t="s">
        <v>718</v>
      </c>
      <c r="D87" s="56" t="s">
        <v>719</v>
      </c>
      <c r="E87" s="57" t="s">
        <v>720</v>
      </c>
      <c r="F87" s="26" t="s">
        <v>558</v>
      </c>
      <c r="G87" s="28">
        <v>0</v>
      </c>
      <c r="H87" s="31">
        <v>0</v>
      </c>
      <c r="I87" s="31">
        <v>0</v>
      </c>
      <c r="J87" s="31">
        <v>0</v>
      </c>
      <c r="K87" s="32"/>
      <c r="L87" s="37" t="str">
        <f t="shared" si="0"/>
        <v/>
      </c>
      <c r="M87" s="38"/>
      <c r="N87" s="29" t="s">
        <v>48</v>
      </c>
      <c r="O87" s="29" t="s">
        <v>48</v>
      </c>
    </row>
    <row r="88" spans="1:15" ht="21.75" customHeight="1">
      <c r="A88" s="53">
        <v>79</v>
      </c>
      <c r="B88" s="54">
        <v>2268</v>
      </c>
      <c r="C88" s="65" t="s">
        <v>718</v>
      </c>
      <c r="D88" s="66" t="s">
        <v>719</v>
      </c>
      <c r="E88" s="53" t="s">
        <v>720</v>
      </c>
      <c r="F88" s="29" t="s">
        <v>558</v>
      </c>
      <c r="G88" s="33">
        <v>0</v>
      </c>
      <c r="H88" s="34">
        <v>0</v>
      </c>
      <c r="I88" s="34">
        <v>0</v>
      </c>
      <c r="J88" s="34">
        <v>0</v>
      </c>
      <c r="K88" s="32"/>
      <c r="L88" s="37" t="str">
        <f t="shared" si="0"/>
        <v/>
      </c>
      <c r="M88" s="38"/>
      <c r="N88" s="29" t="s">
        <v>48</v>
      </c>
      <c r="O88" s="29" t="s">
        <v>48</v>
      </c>
    </row>
    <row r="89" spans="1:15" ht="21.75" customHeight="1">
      <c r="A89" s="57">
        <v>80</v>
      </c>
      <c r="B89" s="67">
        <v>2558</v>
      </c>
      <c r="C89" s="55" t="s">
        <v>721</v>
      </c>
      <c r="D89" s="56" t="s">
        <v>722</v>
      </c>
      <c r="E89" s="57" t="s">
        <v>37</v>
      </c>
      <c r="F89" s="26" t="s">
        <v>558</v>
      </c>
      <c r="G89" s="28">
        <v>5</v>
      </c>
      <c r="H89" s="31">
        <v>3</v>
      </c>
      <c r="I89" s="31">
        <v>0</v>
      </c>
      <c r="J89" s="31">
        <v>0</v>
      </c>
      <c r="K89" s="32"/>
      <c r="L89" s="37" t="str">
        <f t="shared" si="0"/>
        <v/>
      </c>
      <c r="M89" s="38"/>
      <c r="N89" s="29" t="s">
        <v>48</v>
      </c>
      <c r="O89" s="29" t="s">
        <v>48</v>
      </c>
    </row>
    <row r="90" spans="1:15" ht="21.75" customHeight="1">
      <c r="A90" s="53">
        <v>81</v>
      </c>
      <c r="B90" s="54">
        <v>2228</v>
      </c>
      <c r="C90" s="65" t="s">
        <v>723</v>
      </c>
      <c r="D90" s="66" t="s">
        <v>724</v>
      </c>
      <c r="E90" s="53" t="s">
        <v>37</v>
      </c>
      <c r="F90" s="29" t="s">
        <v>558</v>
      </c>
      <c r="G90" s="33">
        <v>0</v>
      </c>
      <c r="H90" s="34">
        <v>0</v>
      </c>
      <c r="I90" s="34">
        <v>0</v>
      </c>
      <c r="J90" s="34">
        <v>0</v>
      </c>
      <c r="K90" s="32"/>
      <c r="L90" s="37" t="str">
        <f t="shared" si="0"/>
        <v/>
      </c>
      <c r="M90" s="38"/>
      <c r="N90" s="29" t="s">
        <v>48</v>
      </c>
      <c r="O90" s="29" t="s">
        <v>48</v>
      </c>
    </row>
    <row r="91" spans="1:15" ht="21.75" customHeight="1">
      <c r="A91" s="57">
        <v>82</v>
      </c>
      <c r="B91" s="67">
        <v>2241</v>
      </c>
      <c r="C91" s="55" t="s">
        <v>723</v>
      </c>
      <c r="D91" s="56" t="s">
        <v>725</v>
      </c>
      <c r="E91" s="57" t="s">
        <v>37</v>
      </c>
      <c r="F91" s="26" t="s">
        <v>558</v>
      </c>
      <c r="G91" s="28">
        <v>0</v>
      </c>
      <c r="H91" s="31">
        <v>0</v>
      </c>
      <c r="I91" s="31">
        <v>0</v>
      </c>
      <c r="J91" s="31">
        <v>0</v>
      </c>
      <c r="K91" s="32"/>
      <c r="L91" s="37" t="str">
        <f t="shared" si="0"/>
        <v/>
      </c>
      <c r="M91" s="38"/>
      <c r="N91" s="29" t="s">
        <v>48</v>
      </c>
      <c r="O91" s="29" t="s">
        <v>48</v>
      </c>
    </row>
    <row r="92" spans="1:15" ht="21.75" customHeight="1">
      <c r="A92" s="53">
        <v>83</v>
      </c>
      <c r="B92" s="54">
        <v>2271</v>
      </c>
      <c r="C92" s="65" t="s">
        <v>723</v>
      </c>
      <c r="D92" s="66" t="s">
        <v>725</v>
      </c>
      <c r="E92" s="53" t="s">
        <v>37</v>
      </c>
      <c r="F92" s="29" t="s">
        <v>558</v>
      </c>
      <c r="G92" s="33">
        <v>0</v>
      </c>
      <c r="H92" s="34">
        <v>0</v>
      </c>
      <c r="I92" s="34">
        <v>0</v>
      </c>
      <c r="J92" s="34">
        <v>0</v>
      </c>
      <c r="K92" s="32"/>
      <c r="L92" s="37" t="str">
        <f t="shared" si="0"/>
        <v/>
      </c>
      <c r="M92" s="38"/>
      <c r="N92" s="29" t="s">
        <v>48</v>
      </c>
      <c r="O92" s="29" t="s">
        <v>48</v>
      </c>
    </row>
    <row r="93" spans="1:15" ht="21.75" customHeight="1">
      <c r="A93" s="57">
        <v>84</v>
      </c>
      <c r="B93" s="67">
        <v>2559</v>
      </c>
      <c r="C93" s="55" t="s">
        <v>726</v>
      </c>
      <c r="D93" s="56" t="s">
        <v>727</v>
      </c>
      <c r="E93" s="57" t="s">
        <v>37</v>
      </c>
      <c r="F93" s="26" t="s">
        <v>558</v>
      </c>
      <c r="G93" s="28">
        <v>20</v>
      </c>
      <c r="H93" s="31">
        <v>20</v>
      </c>
      <c r="I93" s="31">
        <v>0</v>
      </c>
      <c r="J93" s="31">
        <v>10</v>
      </c>
      <c r="K93" s="32"/>
      <c r="L93" s="37" t="str">
        <f t="shared" si="0"/>
        <v/>
      </c>
      <c r="M93" s="38"/>
      <c r="N93" s="29" t="s">
        <v>48</v>
      </c>
      <c r="O93" s="29" t="s">
        <v>48</v>
      </c>
    </row>
    <row r="94" spans="1:15" ht="21.75" customHeight="1">
      <c r="A94" s="53">
        <v>85</v>
      </c>
      <c r="B94" s="54">
        <v>2560</v>
      </c>
      <c r="C94" s="65" t="s">
        <v>728</v>
      </c>
      <c r="D94" s="66" t="s">
        <v>729</v>
      </c>
      <c r="E94" s="53" t="s">
        <v>37</v>
      </c>
      <c r="F94" s="29" t="s">
        <v>558</v>
      </c>
      <c r="G94" s="33">
        <v>10</v>
      </c>
      <c r="H94" s="34">
        <v>0</v>
      </c>
      <c r="I94" s="34">
        <v>0</v>
      </c>
      <c r="J94" s="34">
        <v>0</v>
      </c>
      <c r="K94" s="32"/>
      <c r="L94" s="37" t="str">
        <f t="shared" si="0"/>
        <v/>
      </c>
      <c r="M94" s="38"/>
      <c r="N94" s="29" t="s">
        <v>48</v>
      </c>
      <c r="O94" s="29" t="s">
        <v>48</v>
      </c>
    </row>
    <row r="95" spans="1:15" ht="21.75" customHeight="1">
      <c r="A95" s="57">
        <v>86</v>
      </c>
      <c r="B95" s="67">
        <v>2555</v>
      </c>
      <c r="C95" s="55" t="s">
        <v>730</v>
      </c>
      <c r="D95" s="56" t="s">
        <v>731</v>
      </c>
      <c r="E95" s="57" t="s">
        <v>37</v>
      </c>
      <c r="F95" s="26" t="s">
        <v>558</v>
      </c>
      <c r="G95" s="28">
        <v>2</v>
      </c>
      <c r="H95" s="31">
        <v>2</v>
      </c>
      <c r="I95" s="31">
        <v>0</v>
      </c>
      <c r="J95" s="31">
        <v>2</v>
      </c>
      <c r="K95" s="32"/>
      <c r="L95" s="37" t="str">
        <f t="shared" si="0"/>
        <v/>
      </c>
      <c r="M95" s="38"/>
      <c r="N95" s="29" t="s">
        <v>48</v>
      </c>
      <c r="O95" s="29" t="s">
        <v>48</v>
      </c>
    </row>
    <row r="96" spans="1:15" ht="21.75" customHeight="1">
      <c r="A96" s="53">
        <v>87</v>
      </c>
      <c r="B96" s="54">
        <v>2227</v>
      </c>
      <c r="C96" s="65" t="s">
        <v>732</v>
      </c>
      <c r="D96" s="66" t="s">
        <v>733</v>
      </c>
      <c r="E96" s="53" t="s">
        <v>37</v>
      </c>
      <c r="F96" s="29" t="s">
        <v>558</v>
      </c>
      <c r="G96" s="33">
        <v>0</v>
      </c>
      <c r="H96" s="34">
        <v>0</v>
      </c>
      <c r="I96" s="34">
        <v>0</v>
      </c>
      <c r="J96" s="34">
        <v>0</v>
      </c>
      <c r="K96" s="32"/>
      <c r="L96" s="37" t="str">
        <f t="shared" si="0"/>
        <v/>
      </c>
      <c r="M96" s="38"/>
      <c r="N96" s="29" t="s">
        <v>48</v>
      </c>
      <c r="O96" s="29" t="s">
        <v>48</v>
      </c>
    </row>
    <row r="97" spans="1:15" ht="21.75" customHeight="1">
      <c r="A97" s="57">
        <v>88</v>
      </c>
      <c r="B97" s="67">
        <v>2229</v>
      </c>
      <c r="C97" s="55" t="s">
        <v>734</v>
      </c>
      <c r="D97" s="56" t="s">
        <v>735</v>
      </c>
      <c r="E97" s="57" t="s">
        <v>37</v>
      </c>
      <c r="F97" s="26" t="s">
        <v>558</v>
      </c>
      <c r="G97" s="28">
        <v>0</v>
      </c>
      <c r="H97" s="31">
        <v>0</v>
      </c>
      <c r="I97" s="31">
        <v>0</v>
      </c>
      <c r="J97" s="31">
        <v>0</v>
      </c>
      <c r="K97" s="32"/>
      <c r="L97" s="37" t="str">
        <f t="shared" si="0"/>
        <v/>
      </c>
      <c r="M97" s="38"/>
      <c r="N97" s="29" t="s">
        <v>48</v>
      </c>
      <c r="O97" s="29" t="s">
        <v>48</v>
      </c>
    </row>
    <row r="98" spans="1:15" ht="21.75" customHeight="1">
      <c r="A98" s="53">
        <v>89</v>
      </c>
      <c r="B98" s="54">
        <v>2556</v>
      </c>
      <c r="C98" s="65" t="s">
        <v>734</v>
      </c>
      <c r="D98" s="66" t="s">
        <v>736</v>
      </c>
      <c r="E98" s="53" t="s">
        <v>37</v>
      </c>
      <c r="F98" s="29" t="s">
        <v>558</v>
      </c>
      <c r="G98" s="33">
        <v>2</v>
      </c>
      <c r="H98" s="34">
        <v>5</v>
      </c>
      <c r="I98" s="34">
        <v>0</v>
      </c>
      <c r="J98" s="34">
        <v>2</v>
      </c>
      <c r="K98" s="32"/>
      <c r="L98" s="37" t="str">
        <f t="shared" si="0"/>
        <v/>
      </c>
      <c r="M98" s="38"/>
      <c r="N98" s="29" t="s">
        <v>48</v>
      </c>
      <c r="O98" s="29" t="s">
        <v>48</v>
      </c>
    </row>
    <row r="99" spans="1:15" ht="21.75" customHeight="1">
      <c r="A99" s="57">
        <v>90</v>
      </c>
      <c r="B99" s="67">
        <v>2557</v>
      </c>
      <c r="C99" s="55" t="s">
        <v>734</v>
      </c>
      <c r="D99" s="56" t="s">
        <v>737</v>
      </c>
      <c r="E99" s="57" t="s">
        <v>37</v>
      </c>
      <c r="F99" s="26" t="s">
        <v>558</v>
      </c>
      <c r="G99" s="28">
        <v>2</v>
      </c>
      <c r="H99" s="31">
        <v>3</v>
      </c>
      <c r="I99" s="31">
        <v>0</v>
      </c>
      <c r="J99" s="31">
        <v>0</v>
      </c>
      <c r="K99" s="32"/>
      <c r="L99" s="37" t="str">
        <f t="shared" si="0"/>
        <v/>
      </c>
      <c r="M99" s="38"/>
      <c r="N99" s="29" t="s">
        <v>48</v>
      </c>
      <c r="O99" s="29" t="s">
        <v>48</v>
      </c>
    </row>
    <row r="100" spans="1:15" ht="21.75" customHeight="1">
      <c r="A100" s="53">
        <v>91</v>
      </c>
      <c r="B100" s="54">
        <v>2620</v>
      </c>
      <c r="C100" s="65" t="s">
        <v>409</v>
      </c>
      <c r="D100" s="66" t="s">
        <v>738</v>
      </c>
      <c r="E100" s="53" t="s">
        <v>31</v>
      </c>
      <c r="F100" s="29" t="s">
        <v>558</v>
      </c>
      <c r="G100" s="33">
        <v>10</v>
      </c>
      <c r="H100" s="34">
        <v>20</v>
      </c>
      <c r="I100" s="34">
        <v>20</v>
      </c>
      <c r="J100" s="34">
        <v>0</v>
      </c>
      <c r="K100" s="32"/>
      <c r="L100" s="37" t="str">
        <f t="shared" si="0"/>
        <v/>
      </c>
      <c r="M100" s="38"/>
      <c r="N100" s="29" t="s">
        <v>48</v>
      </c>
      <c r="O100" s="29" t="s">
        <v>48</v>
      </c>
    </row>
    <row r="101" spans="1:15" ht="21.75" customHeight="1">
      <c r="A101" s="57">
        <v>92</v>
      </c>
      <c r="B101" s="67">
        <v>2623</v>
      </c>
      <c r="C101" s="55" t="s">
        <v>409</v>
      </c>
      <c r="D101" s="56" t="s">
        <v>739</v>
      </c>
      <c r="E101" s="57" t="s">
        <v>31</v>
      </c>
      <c r="F101" s="26" t="s">
        <v>558</v>
      </c>
      <c r="G101" s="28">
        <v>0</v>
      </c>
      <c r="H101" s="31">
        <v>20</v>
      </c>
      <c r="I101" s="31">
        <v>0</v>
      </c>
      <c r="J101" s="31">
        <v>0</v>
      </c>
      <c r="K101" s="32"/>
      <c r="L101" s="37" t="str">
        <f t="shared" si="0"/>
        <v/>
      </c>
      <c r="M101" s="38"/>
      <c r="N101" s="29" t="s">
        <v>48</v>
      </c>
      <c r="O101" s="29" t="s">
        <v>48</v>
      </c>
    </row>
    <row r="102" spans="1:15" ht="21.75" customHeight="1">
      <c r="A102" s="53">
        <v>93</v>
      </c>
      <c r="B102" s="54">
        <v>2609</v>
      </c>
      <c r="C102" s="65" t="s">
        <v>740</v>
      </c>
      <c r="D102" s="66" t="s">
        <v>741</v>
      </c>
      <c r="E102" s="53" t="s">
        <v>31</v>
      </c>
      <c r="F102" s="29" t="s">
        <v>558</v>
      </c>
      <c r="G102" s="33">
        <v>250</v>
      </c>
      <c r="H102" s="34">
        <v>1702</v>
      </c>
      <c r="I102" s="34">
        <v>350</v>
      </c>
      <c r="J102" s="34">
        <v>59</v>
      </c>
      <c r="K102" s="32"/>
      <c r="L102" s="37" t="str">
        <f t="shared" si="0"/>
        <v/>
      </c>
      <c r="M102" s="38"/>
      <c r="N102" s="29" t="s">
        <v>48</v>
      </c>
      <c r="O102" s="29" t="s">
        <v>48</v>
      </c>
    </row>
    <row r="103" spans="1:15" ht="21.75" customHeight="1">
      <c r="A103" s="57">
        <v>94</v>
      </c>
      <c r="B103" s="67">
        <v>2610</v>
      </c>
      <c r="C103" s="55" t="s">
        <v>742</v>
      </c>
      <c r="D103" s="56" t="s">
        <v>743</v>
      </c>
      <c r="E103" s="57" t="s">
        <v>31</v>
      </c>
      <c r="F103" s="26" t="s">
        <v>558</v>
      </c>
      <c r="G103" s="28">
        <v>30</v>
      </c>
      <c r="H103" s="31">
        <v>752</v>
      </c>
      <c r="I103" s="31">
        <v>170</v>
      </c>
      <c r="J103" s="31">
        <v>40</v>
      </c>
      <c r="K103" s="32"/>
      <c r="L103" s="37" t="str">
        <f t="shared" si="0"/>
        <v/>
      </c>
      <c r="M103" s="38"/>
      <c r="N103" s="29" t="s">
        <v>48</v>
      </c>
      <c r="O103" s="29" t="s">
        <v>48</v>
      </c>
    </row>
    <row r="104" spans="1:15" ht="21.75" customHeight="1">
      <c r="A104" s="53">
        <v>95</v>
      </c>
      <c r="B104" s="54">
        <v>2264</v>
      </c>
      <c r="C104" s="65" t="s">
        <v>744</v>
      </c>
      <c r="D104" s="66" t="s">
        <v>745</v>
      </c>
      <c r="E104" s="53" t="s">
        <v>37</v>
      </c>
      <c r="F104" s="29" t="s">
        <v>558</v>
      </c>
      <c r="G104" s="33">
        <v>0</v>
      </c>
      <c r="H104" s="34">
        <v>0</v>
      </c>
      <c r="I104" s="34">
        <v>0</v>
      </c>
      <c r="J104" s="34">
        <v>0</v>
      </c>
      <c r="K104" s="32"/>
      <c r="L104" s="37" t="str">
        <f t="shared" si="0"/>
        <v/>
      </c>
      <c r="M104" s="38"/>
      <c r="N104" s="29" t="s">
        <v>48</v>
      </c>
      <c r="O104" s="29" t="s">
        <v>48</v>
      </c>
    </row>
    <row r="105" spans="1:15" ht="21.75" customHeight="1">
      <c r="A105" s="57">
        <v>96</v>
      </c>
      <c r="B105" s="67">
        <v>2263</v>
      </c>
      <c r="C105" s="55" t="s">
        <v>746</v>
      </c>
      <c r="D105" s="56" t="s">
        <v>747</v>
      </c>
      <c r="E105" s="57" t="s">
        <v>37</v>
      </c>
      <c r="F105" s="26" t="s">
        <v>558</v>
      </c>
      <c r="G105" s="28">
        <v>0</v>
      </c>
      <c r="H105" s="31">
        <v>0</v>
      </c>
      <c r="I105" s="31">
        <v>0</v>
      </c>
      <c r="J105" s="31">
        <v>0</v>
      </c>
      <c r="K105" s="32"/>
      <c r="L105" s="37" t="str">
        <f t="shared" si="0"/>
        <v/>
      </c>
      <c r="M105" s="38"/>
      <c r="N105" s="29" t="s">
        <v>48</v>
      </c>
      <c r="O105" s="29" t="s">
        <v>48</v>
      </c>
    </row>
    <row r="106" spans="1:15" ht="21.75" customHeight="1">
      <c r="A106" s="53">
        <v>97</v>
      </c>
      <c r="B106" s="54">
        <v>2273</v>
      </c>
      <c r="C106" s="65" t="s">
        <v>748</v>
      </c>
      <c r="D106" s="66" t="s">
        <v>712</v>
      </c>
      <c r="E106" s="53" t="s">
        <v>687</v>
      </c>
      <c r="F106" s="29" t="s">
        <v>558</v>
      </c>
      <c r="G106" s="33">
        <v>0</v>
      </c>
      <c r="H106" s="34">
        <v>0</v>
      </c>
      <c r="I106" s="34">
        <v>0</v>
      </c>
      <c r="J106" s="34">
        <v>0</v>
      </c>
      <c r="K106" s="32"/>
      <c r="L106" s="37" t="str">
        <f t="shared" si="0"/>
        <v/>
      </c>
      <c r="M106" s="38"/>
      <c r="N106" s="29" t="s">
        <v>48</v>
      </c>
      <c r="O106" s="29" t="s">
        <v>48</v>
      </c>
    </row>
    <row r="107" spans="1:15" ht="21.75" customHeight="1">
      <c r="A107" s="57">
        <v>98</v>
      </c>
      <c r="B107" s="67">
        <v>2588</v>
      </c>
      <c r="C107" s="55" t="s">
        <v>749</v>
      </c>
      <c r="D107" s="56" t="s">
        <v>750</v>
      </c>
      <c r="E107" s="57" t="s">
        <v>37</v>
      </c>
      <c r="F107" s="26" t="s">
        <v>558</v>
      </c>
      <c r="G107" s="28">
        <v>20</v>
      </c>
      <c r="H107" s="31">
        <v>0</v>
      </c>
      <c r="I107" s="31">
        <v>0</v>
      </c>
      <c r="J107" s="31">
        <v>0</v>
      </c>
      <c r="K107" s="32"/>
      <c r="L107" s="37" t="str">
        <f t="shared" si="0"/>
        <v/>
      </c>
      <c r="M107" s="38"/>
      <c r="N107" s="29" t="s">
        <v>48</v>
      </c>
      <c r="O107" s="29" t="s">
        <v>48</v>
      </c>
    </row>
    <row r="108" spans="1:15" ht="21.75" customHeight="1">
      <c r="A108" s="53">
        <v>99</v>
      </c>
      <c r="B108" s="54">
        <v>2542</v>
      </c>
      <c r="C108" s="65" t="s">
        <v>751</v>
      </c>
      <c r="D108" s="66" t="s">
        <v>752</v>
      </c>
      <c r="E108" s="53" t="s">
        <v>37</v>
      </c>
      <c r="F108" s="29" t="s">
        <v>558</v>
      </c>
      <c r="G108" s="33">
        <v>20</v>
      </c>
      <c r="H108" s="34">
        <v>30</v>
      </c>
      <c r="I108" s="34">
        <v>0</v>
      </c>
      <c r="J108" s="34">
        <v>5</v>
      </c>
      <c r="K108" s="32"/>
      <c r="L108" s="37" t="str">
        <f t="shared" si="0"/>
        <v/>
      </c>
      <c r="M108" s="38"/>
      <c r="N108" s="29" t="s">
        <v>48</v>
      </c>
      <c r="O108" s="29" t="s">
        <v>48</v>
      </c>
    </row>
    <row r="109" spans="1:15" ht="21.75" customHeight="1">
      <c r="A109" s="57">
        <v>100</v>
      </c>
      <c r="B109" s="67">
        <v>2543</v>
      </c>
      <c r="C109" s="55" t="s">
        <v>753</v>
      </c>
      <c r="D109" s="56" t="s">
        <v>754</v>
      </c>
      <c r="E109" s="57" t="s">
        <v>37</v>
      </c>
      <c r="F109" s="26" t="s">
        <v>558</v>
      </c>
      <c r="G109" s="28">
        <v>20</v>
      </c>
      <c r="H109" s="31">
        <v>25</v>
      </c>
      <c r="I109" s="31">
        <v>0</v>
      </c>
      <c r="J109" s="31">
        <v>5</v>
      </c>
      <c r="K109" s="32"/>
      <c r="L109" s="37" t="str">
        <f t="shared" si="0"/>
        <v/>
      </c>
      <c r="M109" s="38"/>
      <c r="N109" s="29" t="s">
        <v>48</v>
      </c>
      <c r="O109" s="29" t="s">
        <v>48</v>
      </c>
    </row>
    <row r="110" spans="1:15" ht="21.75" customHeight="1">
      <c r="A110" s="53">
        <v>101</v>
      </c>
      <c r="B110" s="54">
        <v>2544</v>
      </c>
      <c r="C110" s="65" t="s">
        <v>755</v>
      </c>
      <c r="D110" s="66" t="s">
        <v>756</v>
      </c>
      <c r="E110" s="53" t="s">
        <v>37</v>
      </c>
      <c r="F110" s="29" t="s">
        <v>558</v>
      </c>
      <c r="G110" s="33">
        <v>15</v>
      </c>
      <c r="H110" s="34">
        <v>0</v>
      </c>
      <c r="I110" s="34">
        <v>0</v>
      </c>
      <c r="J110" s="34">
        <v>0</v>
      </c>
      <c r="K110" s="32"/>
      <c r="L110" s="37" t="str">
        <f t="shared" si="0"/>
        <v/>
      </c>
      <c r="M110" s="38"/>
      <c r="N110" s="29" t="s">
        <v>48</v>
      </c>
      <c r="O110" s="29" t="s">
        <v>48</v>
      </c>
    </row>
    <row r="111" spans="1:15" ht="21.75" customHeight="1">
      <c r="A111" s="57">
        <v>102</v>
      </c>
      <c r="B111" s="67">
        <v>2585</v>
      </c>
      <c r="C111" s="55" t="s">
        <v>757</v>
      </c>
      <c r="D111" s="56" t="s">
        <v>246</v>
      </c>
      <c r="E111" s="57" t="s">
        <v>37</v>
      </c>
      <c r="F111" s="26" t="s">
        <v>558</v>
      </c>
      <c r="G111" s="28">
        <v>59</v>
      </c>
      <c r="H111" s="31">
        <v>46</v>
      </c>
      <c r="I111" s="31">
        <v>1</v>
      </c>
      <c r="J111" s="31">
        <v>2</v>
      </c>
      <c r="K111" s="32"/>
      <c r="L111" s="37" t="str">
        <f t="shared" si="0"/>
        <v/>
      </c>
      <c r="M111" s="38"/>
      <c r="N111" s="29" t="s">
        <v>48</v>
      </c>
      <c r="O111" s="29" t="s">
        <v>48</v>
      </c>
    </row>
    <row r="112" spans="1:15" ht="21.75" customHeight="1">
      <c r="A112" s="53">
        <v>103</v>
      </c>
      <c r="B112" s="54">
        <v>2586</v>
      </c>
      <c r="C112" s="65" t="s">
        <v>757</v>
      </c>
      <c r="D112" s="66" t="s">
        <v>249</v>
      </c>
      <c r="E112" s="53" t="s">
        <v>37</v>
      </c>
      <c r="F112" s="29" t="s">
        <v>558</v>
      </c>
      <c r="G112" s="33">
        <v>60</v>
      </c>
      <c r="H112" s="34">
        <v>46</v>
      </c>
      <c r="I112" s="34">
        <v>0</v>
      </c>
      <c r="J112" s="34">
        <v>2</v>
      </c>
      <c r="K112" s="32"/>
      <c r="L112" s="37" t="str">
        <f t="shared" si="0"/>
        <v/>
      </c>
      <c r="M112" s="38"/>
      <c r="N112" s="29" t="s">
        <v>48</v>
      </c>
      <c r="O112" s="29" t="s">
        <v>48</v>
      </c>
    </row>
    <row r="113" spans="1:15" ht="21.75" customHeight="1">
      <c r="A113" s="57">
        <v>104</v>
      </c>
      <c r="B113" s="67">
        <v>2587</v>
      </c>
      <c r="C113" s="55" t="s">
        <v>757</v>
      </c>
      <c r="D113" s="56" t="s">
        <v>254</v>
      </c>
      <c r="E113" s="57" t="s">
        <v>37</v>
      </c>
      <c r="F113" s="26" t="s">
        <v>558</v>
      </c>
      <c r="G113" s="28">
        <v>58</v>
      </c>
      <c r="H113" s="31">
        <v>71</v>
      </c>
      <c r="I113" s="31">
        <v>2</v>
      </c>
      <c r="J113" s="31">
        <v>4</v>
      </c>
      <c r="K113" s="32"/>
      <c r="L113" s="37" t="str">
        <f t="shared" si="0"/>
        <v/>
      </c>
      <c r="M113" s="38"/>
      <c r="N113" s="29" t="s">
        <v>48</v>
      </c>
      <c r="O113" s="29" t="s">
        <v>48</v>
      </c>
    </row>
    <row r="114" spans="1:15" ht="21.75" customHeight="1">
      <c r="A114" s="53">
        <v>105</v>
      </c>
      <c r="B114" s="54">
        <v>2265</v>
      </c>
      <c r="C114" s="65" t="s">
        <v>758</v>
      </c>
      <c r="D114" s="66" t="s">
        <v>759</v>
      </c>
      <c r="E114" s="53" t="s">
        <v>100</v>
      </c>
      <c r="F114" s="29" t="s">
        <v>558</v>
      </c>
      <c r="G114" s="33">
        <v>0</v>
      </c>
      <c r="H114" s="34">
        <v>0</v>
      </c>
      <c r="I114" s="34">
        <v>0</v>
      </c>
      <c r="J114" s="34">
        <v>0</v>
      </c>
      <c r="K114" s="32"/>
      <c r="L114" s="37" t="str">
        <f t="shared" si="0"/>
        <v/>
      </c>
      <c r="M114" s="38"/>
      <c r="N114" s="29" t="s">
        <v>48</v>
      </c>
      <c r="O114" s="29" t="s">
        <v>48</v>
      </c>
    </row>
    <row r="115" spans="1:15" ht="21.75" customHeight="1">
      <c r="A115" s="57">
        <v>106</v>
      </c>
      <c r="B115" s="67">
        <v>2266</v>
      </c>
      <c r="C115" s="55" t="s">
        <v>758</v>
      </c>
      <c r="D115" s="56" t="s">
        <v>759</v>
      </c>
      <c r="E115" s="57" t="s">
        <v>760</v>
      </c>
      <c r="F115" s="26" t="s">
        <v>558</v>
      </c>
      <c r="G115" s="28">
        <v>0</v>
      </c>
      <c r="H115" s="31">
        <v>0</v>
      </c>
      <c r="I115" s="31">
        <v>0</v>
      </c>
      <c r="J115" s="31">
        <v>0</v>
      </c>
      <c r="K115" s="32"/>
      <c r="L115" s="37" t="str">
        <f t="shared" si="0"/>
        <v/>
      </c>
      <c r="M115" s="38"/>
      <c r="N115" s="29" t="s">
        <v>48</v>
      </c>
      <c r="O115" s="29" t="s">
        <v>48</v>
      </c>
    </row>
    <row r="116" spans="1:15" ht="21.75" customHeight="1">
      <c r="A116" s="53">
        <v>107</v>
      </c>
      <c r="B116" s="54">
        <v>2267</v>
      </c>
      <c r="C116" s="65" t="s">
        <v>758</v>
      </c>
      <c r="D116" s="66" t="s">
        <v>761</v>
      </c>
      <c r="E116" s="53" t="s">
        <v>100</v>
      </c>
      <c r="F116" s="29" t="s">
        <v>558</v>
      </c>
      <c r="G116" s="33">
        <v>0</v>
      </c>
      <c r="H116" s="34">
        <v>0</v>
      </c>
      <c r="I116" s="34">
        <v>0</v>
      </c>
      <c r="J116" s="34">
        <v>0</v>
      </c>
      <c r="K116" s="32"/>
      <c r="L116" s="37" t="str">
        <f t="shared" si="0"/>
        <v/>
      </c>
      <c r="M116" s="38"/>
      <c r="N116" s="29" t="s">
        <v>48</v>
      </c>
      <c r="O116" s="29" t="s">
        <v>48</v>
      </c>
    </row>
    <row r="117" spans="1:15" ht="21.75" customHeight="1">
      <c r="A117" s="57">
        <v>108</v>
      </c>
      <c r="B117" s="67">
        <v>2243</v>
      </c>
      <c r="C117" s="55" t="s">
        <v>97</v>
      </c>
      <c r="D117" s="56" t="s">
        <v>762</v>
      </c>
      <c r="E117" s="57" t="s">
        <v>106</v>
      </c>
      <c r="F117" s="26" t="s">
        <v>558</v>
      </c>
      <c r="G117" s="28">
        <v>0</v>
      </c>
      <c r="H117" s="31">
        <v>0</v>
      </c>
      <c r="I117" s="31">
        <v>0</v>
      </c>
      <c r="J117" s="31">
        <v>0</v>
      </c>
      <c r="K117" s="32"/>
      <c r="L117" s="37" t="str">
        <f t="shared" si="0"/>
        <v/>
      </c>
      <c r="M117" s="38"/>
      <c r="N117" s="29" t="s">
        <v>48</v>
      </c>
      <c r="O117" s="29" t="s">
        <v>48</v>
      </c>
    </row>
    <row r="118" spans="1:15" ht="21.75" customHeight="1">
      <c r="A118" s="53">
        <v>109</v>
      </c>
      <c r="B118" s="54">
        <v>2244</v>
      </c>
      <c r="C118" s="65" t="s">
        <v>97</v>
      </c>
      <c r="D118" s="66" t="s">
        <v>763</v>
      </c>
      <c r="E118" s="53" t="s">
        <v>106</v>
      </c>
      <c r="F118" s="29" t="s">
        <v>558</v>
      </c>
      <c r="G118" s="33">
        <v>0</v>
      </c>
      <c r="H118" s="34">
        <v>0</v>
      </c>
      <c r="I118" s="34">
        <v>0</v>
      </c>
      <c r="J118" s="34">
        <v>0</v>
      </c>
      <c r="K118" s="32"/>
      <c r="L118" s="37" t="str">
        <f t="shared" si="0"/>
        <v/>
      </c>
      <c r="M118" s="38"/>
      <c r="N118" s="29" t="s">
        <v>48</v>
      </c>
      <c r="O118" s="29" t="s">
        <v>48</v>
      </c>
    </row>
    <row r="119" spans="1:15" ht="21.75" customHeight="1">
      <c r="A119" s="57">
        <v>110</v>
      </c>
      <c r="B119" s="67">
        <v>2541</v>
      </c>
      <c r="C119" s="55" t="s">
        <v>764</v>
      </c>
      <c r="D119" s="56" t="s">
        <v>682</v>
      </c>
      <c r="E119" s="57" t="s">
        <v>37</v>
      </c>
      <c r="F119" s="26" t="s">
        <v>558</v>
      </c>
      <c r="G119" s="28">
        <v>49</v>
      </c>
      <c r="H119" s="31">
        <v>150</v>
      </c>
      <c r="I119" s="31">
        <v>51</v>
      </c>
      <c r="J119" s="31">
        <v>0</v>
      </c>
      <c r="K119" s="32"/>
      <c r="L119" s="37" t="str">
        <f t="shared" si="0"/>
        <v/>
      </c>
      <c r="M119" s="38"/>
      <c r="N119" s="29" t="s">
        <v>48</v>
      </c>
      <c r="O119" s="29" t="s">
        <v>48</v>
      </c>
    </row>
    <row r="120" spans="1:15" ht="21.75" customHeight="1">
      <c r="A120" s="53">
        <v>111</v>
      </c>
      <c r="B120" s="54">
        <v>2540</v>
      </c>
      <c r="C120" s="65" t="s">
        <v>765</v>
      </c>
      <c r="D120" s="66" t="s">
        <v>682</v>
      </c>
      <c r="E120" s="53" t="s">
        <v>37</v>
      </c>
      <c r="F120" s="29" t="s">
        <v>558</v>
      </c>
      <c r="G120" s="33">
        <v>100</v>
      </c>
      <c r="H120" s="34">
        <v>65</v>
      </c>
      <c r="I120" s="34">
        <v>0</v>
      </c>
      <c r="J120" s="34">
        <v>20</v>
      </c>
      <c r="K120" s="32"/>
      <c r="L120" s="37" t="str">
        <f t="shared" si="0"/>
        <v/>
      </c>
      <c r="M120" s="38"/>
      <c r="N120" s="29" t="s">
        <v>48</v>
      </c>
      <c r="O120" s="29" t="s">
        <v>48</v>
      </c>
    </row>
    <row r="121" spans="1:15" ht="21.75" customHeight="1">
      <c r="A121" s="57">
        <v>112</v>
      </c>
      <c r="B121" s="67">
        <v>2236</v>
      </c>
      <c r="C121" s="55" t="s">
        <v>766</v>
      </c>
      <c r="D121" s="56" t="s">
        <v>767</v>
      </c>
      <c r="E121" s="57" t="s">
        <v>37</v>
      </c>
      <c r="F121" s="26" t="s">
        <v>558</v>
      </c>
      <c r="G121" s="28">
        <v>0</v>
      </c>
      <c r="H121" s="31">
        <v>0</v>
      </c>
      <c r="I121" s="31">
        <v>0</v>
      </c>
      <c r="J121" s="31">
        <v>0</v>
      </c>
      <c r="K121" s="32"/>
      <c r="L121" s="37" t="str">
        <f t="shared" si="0"/>
        <v/>
      </c>
      <c r="M121" s="38"/>
      <c r="N121" s="29" t="s">
        <v>48</v>
      </c>
      <c r="O121" s="29" t="s">
        <v>48</v>
      </c>
    </row>
    <row r="122" spans="1:15" ht="21.75" customHeight="1">
      <c r="A122" s="53">
        <v>113</v>
      </c>
      <c r="B122" s="54">
        <v>2232</v>
      </c>
      <c r="C122" s="65" t="s">
        <v>768</v>
      </c>
      <c r="D122" s="66" t="s">
        <v>769</v>
      </c>
      <c r="E122" s="53" t="s">
        <v>37</v>
      </c>
      <c r="F122" s="29" t="s">
        <v>558</v>
      </c>
      <c r="G122" s="33">
        <v>0</v>
      </c>
      <c r="H122" s="34">
        <v>0</v>
      </c>
      <c r="I122" s="34">
        <v>0</v>
      </c>
      <c r="J122" s="34">
        <v>0</v>
      </c>
      <c r="K122" s="32"/>
      <c r="L122" s="37" t="str">
        <f t="shared" si="0"/>
        <v/>
      </c>
      <c r="M122" s="38"/>
      <c r="N122" s="29" t="s">
        <v>48</v>
      </c>
      <c r="O122" s="29" t="s">
        <v>48</v>
      </c>
    </row>
    <row r="123" spans="1:15" ht="21.75" customHeight="1">
      <c r="A123" s="57">
        <v>114</v>
      </c>
      <c r="B123" s="67">
        <v>2581</v>
      </c>
      <c r="C123" s="55" t="s">
        <v>770</v>
      </c>
      <c r="D123" s="56" t="s">
        <v>771</v>
      </c>
      <c r="E123" s="57" t="s">
        <v>687</v>
      </c>
      <c r="F123" s="26" t="s">
        <v>558</v>
      </c>
      <c r="G123" s="28">
        <v>40</v>
      </c>
      <c r="H123" s="31">
        <v>15</v>
      </c>
      <c r="I123" s="31">
        <v>0</v>
      </c>
      <c r="J123" s="31">
        <v>10</v>
      </c>
      <c r="K123" s="32"/>
      <c r="L123" s="37" t="str">
        <f t="shared" si="0"/>
        <v/>
      </c>
      <c r="M123" s="38"/>
      <c r="N123" s="29" t="s">
        <v>48</v>
      </c>
      <c r="O123" s="29" t="s">
        <v>48</v>
      </c>
    </row>
    <row r="124" spans="1:15" ht="21.75" customHeight="1">
      <c r="A124" s="53">
        <v>115</v>
      </c>
      <c r="B124" s="54">
        <v>2582</v>
      </c>
      <c r="C124" s="65" t="s">
        <v>770</v>
      </c>
      <c r="D124" s="66" t="s">
        <v>772</v>
      </c>
      <c r="E124" s="53" t="s">
        <v>687</v>
      </c>
      <c r="F124" s="29" t="s">
        <v>558</v>
      </c>
      <c r="G124" s="33">
        <v>40</v>
      </c>
      <c r="H124" s="34">
        <v>35</v>
      </c>
      <c r="I124" s="34">
        <v>0</v>
      </c>
      <c r="J124" s="34">
        <v>10</v>
      </c>
      <c r="K124" s="32"/>
      <c r="L124" s="37" t="str">
        <f t="shared" si="0"/>
        <v/>
      </c>
      <c r="M124" s="38"/>
      <c r="N124" s="29" t="s">
        <v>48</v>
      </c>
      <c r="O124" s="29" t="s">
        <v>48</v>
      </c>
    </row>
    <row r="125" spans="1:15" ht="21.75" customHeight="1">
      <c r="A125" s="57">
        <v>116</v>
      </c>
      <c r="B125" s="67">
        <v>2583</v>
      </c>
      <c r="C125" s="55" t="s">
        <v>773</v>
      </c>
      <c r="D125" s="56" t="s">
        <v>774</v>
      </c>
      <c r="E125" s="57" t="s">
        <v>37</v>
      </c>
      <c r="F125" s="26" t="s">
        <v>558</v>
      </c>
      <c r="G125" s="28">
        <v>40</v>
      </c>
      <c r="H125" s="31">
        <v>6</v>
      </c>
      <c r="I125" s="31">
        <v>0</v>
      </c>
      <c r="J125" s="31">
        <v>0</v>
      </c>
      <c r="K125" s="32"/>
      <c r="L125" s="37" t="str">
        <f t="shared" si="0"/>
        <v/>
      </c>
      <c r="M125" s="38"/>
      <c r="N125" s="29" t="s">
        <v>48</v>
      </c>
      <c r="O125" s="29" t="s">
        <v>48</v>
      </c>
    </row>
    <row r="126" spans="1:15" ht="21.75" customHeight="1">
      <c r="A126" s="53">
        <v>117</v>
      </c>
      <c r="B126" s="54">
        <v>2584</v>
      </c>
      <c r="C126" s="65" t="s">
        <v>773</v>
      </c>
      <c r="D126" s="66" t="s">
        <v>775</v>
      </c>
      <c r="E126" s="53" t="s">
        <v>37</v>
      </c>
      <c r="F126" s="29" t="s">
        <v>558</v>
      </c>
      <c r="G126" s="33">
        <v>30</v>
      </c>
      <c r="H126" s="34">
        <v>25</v>
      </c>
      <c r="I126" s="34">
        <v>0</v>
      </c>
      <c r="J126" s="34">
        <v>10</v>
      </c>
      <c r="K126" s="32"/>
      <c r="L126" s="37" t="str">
        <f t="shared" si="0"/>
        <v/>
      </c>
      <c r="M126" s="38"/>
      <c r="N126" s="29" t="s">
        <v>48</v>
      </c>
      <c r="O126" s="29" t="s">
        <v>48</v>
      </c>
    </row>
    <row r="127" spans="1:15" ht="21.75" customHeight="1">
      <c r="A127" s="57">
        <v>118</v>
      </c>
      <c r="B127" s="67">
        <v>2237</v>
      </c>
      <c r="C127" s="55" t="s">
        <v>776</v>
      </c>
      <c r="D127" s="56" t="s">
        <v>767</v>
      </c>
      <c r="E127" s="57" t="s">
        <v>37</v>
      </c>
      <c r="F127" s="26" t="s">
        <v>558</v>
      </c>
      <c r="G127" s="28">
        <v>0</v>
      </c>
      <c r="H127" s="31">
        <v>0</v>
      </c>
      <c r="I127" s="31">
        <v>0</v>
      </c>
      <c r="J127" s="31">
        <v>0</v>
      </c>
      <c r="K127" s="32"/>
      <c r="L127" s="37" t="str">
        <f t="shared" si="0"/>
        <v/>
      </c>
      <c r="M127" s="38"/>
      <c r="N127" s="29" t="s">
        <v>48</v>
      </c>
      <c r="O127" s="29" t="s">
        <v>48</v>
      </c>
    </row>
    <row r="128" spans="1:15" ht="21.75" customHeight="1">
      <c r="A128" s="53">
        <v>119</v>
      </c>
      <c r="B128" s="54">
        <v>2238</v>
      </c>
      <c r="C128" s="65" t="s">
        <v>777</v>
      </c>
      <c r="D128" s="66" t="s">
        <v>778</v>
      </c>
      <c r="E128" s="53" t="s">
        <v>37</v>
      </c>
      <c r="F128" s="29" t="s">
        <v>558</v>
      </c>
      <c r="G128" s="33">
        <v>0</v>
      </c>
      <c r="H128" s="34">
        <v>0</v>
      </c>
      <c r="I128" s="34">
        <v>0</v>
      </c>
      <c r="J128" s="34">
        <v>0</v>
      </c>
      <c r="K128" s="32"/>
      <c r="L128" s="37" t="str">
        <f t="shared" si="0"/>
        <v/>
      </c>
      <c r="M128" s="38"/>
      <c r="N128" s="29" t="s">
        <v>48</v>
      </c>
      <c r="O128" s="29" t="s">
        <v>48</v>
      </c>
    </row>
    <row r="129" spans="1:15" ht="21.75" customHeight="1">
      <c r="A129" s="57">
        <v>120</v>
      </c>
      <c r="B129" s="67">
        <v>2252</v>
      </c>
      <c r="C129" s="55" t="s">
        <v>492</v>
      </c>
      <c r="D129" s="56" t="s">
        <v>779</v>
      </c>
      <c r="E129" s="57" t="s">
        <v>687</v>
      </c>
      <c r="F129" s="26" t="s">
        <v>558</v>
      </c>
      <c r="G129" s="28">
        <v>15</v>
      </c>
      <c r="H129" s="31">
        <v>10</v>
      </c>
      <c r="I129" s="31">
        <v>5</v>
      </c>
      <c r="J129" s="31">
        <v>0</v>
      </c>
      <c r="K129" s="32"/>
      <c r="L129" s="37" t="str">
        <f t="shared" si="0"/>
        <v/>
      </c>
      <c r="M129" s="38"/>
      <c r="N129" s="29" t="s">
        <v>48</v>
      </c>
      <c r="O129" s="29" t="s">
        <v>48</v>
      </c>
    </row>
    <row r="130" spans="1:15" ht="21.75" customHeight="1">
      <c r="A130" s="53">
        <v>121</v>
      </c>
      <c r="B130" s="54">
        <v>2253</v>
      </c>
      <c r="C130" s="65" t="s">
        <v>492</v>
      </c>
      <c r="D130" s="66" t="s">
        <v>779</v>
      </c>
      <c r="E130" s="53" t="s">
        <v>687</v>
      </c>
      <c r="F130" s="29" t="s">
        <v>558</v>
      </c>
      <c r="G130" s="33">
        <v>0</v>
      </c>
      <c r="H130" s="34">
        <v>0</v>
      </c>
      <c r="I130" s="34">
        <v>0</v>
      </c>
      <c r="J130" s="34">
        <v>0</v>
      </c>
      <c r="K130" s="32"/>
      <c r="L130" s="37" t="str">
        <f t="shared" si="0"/>
        <v/>
      </c>
      <c r="M130" s="38"/>
      <c r="N130" s="29" t="s">
        <v>48</v>
      </c>
      <c r="O130" s="29" t="s">
        <v>48</v>
      </c>
    </row>
    <row r="131" spans="1:15" ht="21.75" customHeight="1">
      <c r="A131" s="57">
        <v>122</v>
      </c>
      <c r="B131" s="67">
        <v>2254</v>
      </c>
      <c r="C131" s="55" t="s">
        <v>492</v>
      </c>
      <c r="D131" s="56" t="s">
        <v>779</v>
      </c>
      <c r="E131" s="57" t="s">
        <v>687</v>
      </c>
      <c r="F131" s="26" t="s">
        <v>558</v>
      </c>
      <c r="G131" s="28">
        <v>0</v>
      </c>
      <c r="H131" s="31">
        <v>0</v>
      </c>
      <c r="I131" s="31">
        <v>0</v>
      </c>
      <c r="J131" s="31">
        <v>0</v>
      </c>
      <c r="K131" s="32"/>
      <c r="L131" s="37" t="str">
        <f t="shared" si="0"/>
        <v/>
      </c>
      <c r="M131" s="38"/>
      <c r="N131" s="29" t="s">
        <v>48</v>
      </c>
      <c r="O131" s="29" t="s">
        <v>48</v>
      </c>
    </row>
    <row r="132" spans="1:15" ht="21.75" customHeight="1">
      <c r="A132" s="53">
        <v>123</v>
      </c>
      <c r="B132" s="54">
        <v>2255</v>
      </c>
      <c r="C132" s="65" t="s">
        <v>492</v>
      </c>
      <c r="D132" s="66" t="s">
        <v>780</v>
      </c>
      <c r="E132" s="53" t="s">
        <v>37</v>
      </c>
      <c r="F132" s="29" t="s">
        <v>558</v>
      </c>
      <c r="G132" s="33">
        <v>17</v>
      </c>
      <c r="H132" s="34">
        <v>10</v>
      </c>
      <c r="I132" s="34">
        <v>5</v>
      </c>
      <c r="J132" s="34">
        <v>0</v>
      </c>
      <c r="K132" s="32"/>
      <c r="L132" s="37" t="str">
        <f t="shared" si="0"/>
        <v/>
      </c>
      <c r="M132" s="38"/>
      <c r="N132" s="29" t="s">
        <v>48</v>
      </c>
      <c r="O132" s="29" t="s">
        <v>48</v>
      </c>
    </row>
    <row r="133" spans="1:15" ht="21.75" customHeight="1">
      <c r="A133" s="57">
        <v>124</v>
      </c>
      <c r="B133" s="67">
        <v>2256</v>
      </c>
      <c r="C133" s="55" t="s">
        <v>492</v>
      </c>
      <c r="D133" s="56" t="s">
        <v>780</v>
      </c>
      <c r="E133" s="57" t="s">
        <v>37</v>
      </c>
      <c r="F133" s="26" t="s">
        <v>558</v>
      </c>
      <c r="G133" s="28">
        <v>0</v>
      </c>
      <c r="H133" s="31">
        <v>0</v>
      </c>
      <c r="I133" s="31">
        <v>0</v>
      </c>
      <c r="J133" s="31">
        <v>0</v>
      </c>
      <c r="K133" s="32"/>
      <c r="L133" s="37" t="str">
        <f t="shared" si="0"/>
        <v/>
      </c>
      <c r="M133" s="38"/>
      <c r="N133" s="29" t="s">
        <v>48</v>
      </c>
      <c r="O133" s="29" t="s">
        <v>48</v>
      </c>
    </row>
    <row r="134" spans="1:15" ht="21.75" customHeight="1">
      <c r="A134" s="53">
        <v>125</v>
      </c>
      <c r="B134" s="54">
        <v>2257</v>
      </c>
      <c r="C134" s="65" t="s">
        <v>492</v>
      </c>
      <c r="D134" s="66" t="s">
        <v>781</v>
      </c>
      <c r="E134" s="53" t="s">
        <v>37</v>
      </c>
      <c r="F134" s="29" t="s">
        <v>558</v>
      </c>
      <c r="G134" s="33">
        <v>0</v>
      </c>
      <c r="H134" s="34">
        <v>0</v>
      </c>
      <c r="I134" s="34">
        <v>0</v>
      </c>
      <c r="J134" s="34">
        <v>0</v>
      </c>
      <c r="K134" s="32"/>
      <c r="L134" s="37" t="str">
        <f t="shared" si="0"/>
        <v/>
      </c>
      <c r="M134" s="38"/>
      <c r="N134" s="29" t="s">
        <v>48</v>
      </c>
      <c r="O134" s="29" t="s">
        <v>48</v>
      </c>
    </row>
    <row r="135" spans="1:15" ht="21.75" customHeight="1">
      <c r="A135" s="57">
        <v>126</v>
      </c>
      <c r="B135" s="67">
        <v>2258</v>
      </c>
      <c r="C135" s="55" t="s">
        <v>492</v>
      </c>
      <c r="D135" s="56" t="s">
        <v>781</v>
      </c>
      <c r="E135" s="57" t="s">
        <v>37</v>
      </c>
      <c r="F135" s="26" t="s">
        <v>558</v>
      </c>
      <c r="G135" s="28">
        <v>0</v>
      </c>
      <c r="H135" s="31">
        <v>0</v>
      </c>
      <c r="I135" s="31">
        <v>0</v>
      </c>
      <c r="J135" s="31">
        <v>0</v>
      </c>
      <c r="K135" s="32"/>
      <c r="L135" s="37" t="str">
        <f t="shared" si="0"/>
        <v/>
      </c>
      <c r="M135" s="38"/>
      <c r="N135" s="29" t="s">
        <v>48</v>
      </c>
      <c r="O135" s="29" t="s">
        <v>48</v>
      </c>
    </row>
    <row r="136" spans="1:15" ht="21.75" customHeight="1">
      <c r="A136" s="53">
        <v>127</v>
      </c>
      <c r="B136" s="54">
        <v>2250</v>
      </c>
      <c r="C136" s="65" t="s">
        <v>782</v>
      </c>
      <c r="D136" s="66" t="s">
        <v>783</v>
      </c>
      <c r="E136" s="53" t="s">
        <v>37</v>
      </c>
      <c r="F136" s="29" t="s">
        <v>558</v>
      </c>
      <c r="G136" s="33">
        <v>0</v>
      </c>
      <c r="H136" s="34">
        <v>0</v>
      </c>
      <c r="I136" s="34">
        <v>0</v>
      </c>
      <c r="J136" s="34">
        <v>0</v>
      </c>
      <c r="K136" s="32"/>
      <c r="L136" s="37" t="str">
        <f t="shared" si="0"/>
        <v/>
      </c>
      <c r="M136" s="38"/>
      <c r="N136" s="29" t="s">
        <v>48</v>
      </c>
      <c r="O136" s="29" t="s">
        <v>48</v>
      </c>
    </row>
    <row r="137" spans="1:15" ht="21.75" customHeight="1">
      <c r="A137" s="57">
        <v>128</v>
      </c>
      <c r="B137" s="67">
        <v>2262</v>
      </c>
      <c r="C137" s="55" t="s">
        <v>784</v>
      </c>
      <c r="D137" s="56" t="s">
        <v>763</v>
      </c>
      <c r="E137" s="57" t="s">
        <v>100</v>
      </c>
      <c r="F137" s="26" t="s">
        <v>558</v>
      </c>
      <c r="G137" s="28">
        <v>0</v>
      </c>
      <c r="H137" s="31">
        <v>0</v>
      </c>
      <c r="I137" s="31">
        <v>0</v>
      </c>
      <c r="J137" s="31">
        <v>0</v>
      </c>
      <c r="K137" s="32"/>
      <c r="L137" s="37" t="str">
        <f t="shared" si="0"/>
        <v/>
      </c>
      <c r="M137" s="38"/>
      <c r="N137" s="29" t="s">
        <v>48</v>
      </c>
      <c r="O137" s="29" t="s">
        <v>48</v>
      </c>
    </row>
    <row r="138" spans="1:15" ht="21.75" customHeight="1">
      <c r="A138" s="53">
        <v>129</v>
      </c>
      <c r="B138" s="54">
        <v>2552</v>
      </c>
      <c r="C138" s="65" t="s">
        <v>785</v>
      </c>
      <c r="D138" s="66" t="s">
        <v>786</v>
      </c>
      <c r="E138" s="53" t="s">
        <v>31</v>
      </c>
      <c r="F138" s="29" t="s">
        <v>558</v>
      </c>
      <c r="G138" s="33">
        <v>180</v>
      </c>
      <c r="H138" s="34">
        <v>230</v>
      </c>
      <c r="I138" s="34">
        <v>20</v>
      </c>
      <c r="J138" s="34">
        <v>20</v>
      </c>
      <c r="K138" s="32"/>
      <c r="L138" s="37" t="str">
        <f t="shared" si="0"/>
        <v/>
      </c>
      <c r="M138" s="38"/>
      <c r="N138" s="29" t="s">
        <v>48</v>
      </c>
      <c r="O138" s="29" t="s">
        <v>48</v>
      </c>
    </row>
    <row r="139" spans="1:15" ht="21.75" customHeight="1">
      <c r="A139" s="57">
        <v>130</v>
      </c>
      <c r="B139" s="67">
        <v>2234</v>
      </c>
      <c r="C139" s="55" t="s">
        <v>787</v>
      </c>
      <c r="D139" s="56" t="s">
        <v>767</v>
      </c>
      <c r="E139" s="57" t="s">
        <v>111</v>
      </c>
      <c r="F139" s="26" t="s">
        <v>558</v>
      </c>
      <c r="G139" s="28">
        <v>0</v>
      </c>
      <c r="H139" s="31">
        <v>0</v>
      </c>
      <c r="I139" s="31">
        <v>0</v>
      </c>
      <c r="J139" s="31">
        <v>0</v>
      </c>
      <c r="K139" s="32"/>
      <c r="L139" s="37" t="str">
        <f t="shared" si="0"/>
        <v/>
      </c>
      <c r="M139" s="38"/>
      <c r="N139" s="29" t="s">
        <v>48</v>
      </c>
      <c r="O139" s="29" t="s">
        <v>48</v>
      </c>
    </row>
    <row r="140" spans="1:15" ht="21.75" customHeight="1">
      <c r="A140" s="53">
        <v>131</v>
      </c>
      <c r="B140" s="54">
        <v>2235</v>
      </c>
      <c r="C140" s="65" t="s">
        <v>787</v>
      </c>
      <c r="D140" s="66" t="s">
        <v>767</v>
      </c>
      <c r="E140" s="53" t="s">
        <v>111</v>
      </c>
      <c r="F140" s="29" t="s">
        <v>558</v>
      </c>
      <c r="G140" s="33">
        <v>0</v>
      </c>
      <c r="H140" s="34">
        <v>0</v>
      </c>
      <c r="I140" s="34">
        <v>0</v>
      </c>
      <c r="J140" s="34">
        <v>0</v>
      </c>
      <c r="K140" s="32"/>
      <c r="L140" s="37" t="str">
        <f t="shared" si="0"/>
        <v/>
      </c>
      <c r="M140" s="38"/>
      <c r="N140" s="29" t="s">
        <v>48</v>
      </c>
      <c r="O140" s="29" t="s">
        <v>48</v>
      </c>
    </row>
    <row r="141" spans="1:15" ht="21.75" customHeight="1">
      <c r="A141" s="57">
        <v>132</v>
      </c>
      <c r="B141" s="67">
        <v>2597</v>
      </c>
      <c r="C141" s="55" t="s">
        <v>788</v>
      </c>
      <c r="D141" s="56" t="s">
        <v>682</v>
      </c>
      <c r="E141" s="57" t="s">
        <v>111</v>
      </c>
      <c r="F141" s="26" t="s">
        <v>558</v>
      </c>
      <c r="G141" s="28">
        <v>185</v>
      </c>
      <c r="H141" s="31">
        <v>97</v>
      </c>
      <c r="I141" s="31">
        <v>15</v>
      </c>
      <c r="J141" s="31">
        <v>0</v>
      </c>
      <c r="K141" s="32"/>
      <c r="L141" s="37" t="str">
        <f t="shared" si="0"/>
        <v/>
      </c>
      <c r="M141" s="38"/>
      <c r="N141" s="29" t="s">
        <v>48</v>
      </c>
      <c r="O141" s="29" t="s">
        <v>48</v>
      </c>
    </row>
    <row r="142" spans="1:15" ht="21.75" customHeight="1">
      <c r="A142" s="53">
        <v>133</v>
      </c>
      <c r="B142" s="54">
        <v>2598</v>
      </c>
      <c r="C142" s="65" t="s">
        <v>788</v>
      </c>
      <c r="D142" s="66" t="s">
        <v>767</v>
      </c>
      <c r="E142" s="53" t="s">
        <v>111</v>
      </c>
      <c r="F142" s="29" t="s">
        <v>558</v>
      </c>
      <c r="G142" s="33">
        <v>92</v>
      </c>
      <c r="H142" s="34">
        <v>74</v>
      </c>
      <c r="I142" s="34">
        <v>8</v>
      </c>
      <c r="J142" s="34">
        <v>20</v>
      </c>
      <c r="K142" s="32"/>
      <c r="L142" s="37" t="str">
        <f t="shared" si="0"/>
        <v/>
      </c>
      <c r="M142" s="38"/>
      <c r="N142" s="29" t="s">
        <v>48</v>
      </c>
      <c r="O142" s="29" t="s">
        <v>48</v>
      </c>
    </row>
    <row r="143" spans="1:15" ht="21.75" customHeight="1">
      <c r="A143" s="57">
        <v>134</v>
      </c>
      <c r="B143" s="67">
        <v>2245</v>
      </c>
      <c r="C143" s="55" t="s">
        <v>305</v>
      </c>
      <c r="D143" s="56" t="s">
        <v>306</v>
      </c>
      <c r="E143" s="57" t="s">
        <v>307</v>
      </c>
      <c r="F143" s="26" t="s">
        <v>558</v>
      </c>
      <c r="G143" s="28">
        <v>0</v>
      </c>
      <c r="H143" s="31">
        <v>0</v>
      </c>
      <c r="I143" s="31">
        <v>0</v>
      </c>
      <c r="J143" s="31">
        <v>0</v>
      </c>
      <c r="K143" s="32"/>
      <c r="L143" s="37" t="str">
        <f t="shared" si="0"/>
        <v/>
      </c>
      <c r="M143" s="38"/>
      <c r="N143" s="29" t="s">
        <v>48</v>
      </c>
      <c r="O143" s="29" t="s">
        <v>48</v>
      </c>
    </row>
    <row r="144" spans="1:15" ht="21.75" customHeight="1">
      <c r="A144" s="53">
        <v>135</v>
      </c>
      <c r="B144" s="54">
        <v>2246</v>
      </c>
      <c r="C144" s="65" t="s">
        <v>305</v>
      </c>
      <c r="D144" s="66" t="s">
        <v>310</v>
      </c>
      <c r="E144" s="53" t="s">
        <v>307</v>
      </c>
      <c r="F144" s="29" t="s">
        <v>558</v>
      </c>
      <c r="G144" s="33">
        <v>0</v>
      </c>
      <c r="H144" s="34">
        <v>0</v>
      </c>
      <c r="I144" s="34">
        <v>0</v>
      </c>
      <c r="J144" s="34">
        <v>0</v>
      </c>
      <c r="K144" s="32"/>
      <c r="L144" s="37" t="str">
        <f t="shared" si="0"/>
        <v/>
      </c>
      <c r="M144" s="38"/>
      <c r="N144" s="29" t="s">
        <v>48</v>
      </c>
      <c r="O144" s="29" t="s">
        <v>48</v>
      </c>
    </row>
    <row r="145" spans="1:15" ht="21.75" customHeight="1">
      <c r="A145" s="57">
        <v>136</v>
      </c>
      <c r="B145" s="67">
        <v>2599</v>
      </c>
      <c r="C145" s="55" t="s">
        <v>305</v>
      </c>
      <c r="D145" s="56" t="s">
        <v>789</v>
      </c>
      <c r="E145" s="57" t="s">
        <v>307</v>
      </c>
      <c r="F145" s="26" t="s">
        <v>558</v>
      </c>
      <c r="G145" s="28">
        <v>188</v>
      </c>
      <c r="H145" s="31">
        <v>57</v>
      </c>
      <c r="I145" s="31">
        <v>12</v>
      </c>
      <c r="J145" s="31">
        <v>25</v>
      </c>
      <c r="K145" s="32"/>
      <c r="L145" s="37" t="str">
        <f t="shared" si="0"/>
        <v/>
      </c>
      <c r="M145" s="38"/>
      <c r="N145" s="29" t="s">
        <v>48</v>
      </c>
      <c r="O145" s="29" t="s">
        <v>48</v>
      </c>
    </row>
    <row r="146" spans="1:15" ht="21.75" customHeight="1">
      <c r="A146" s="53">
        <v>137</v>
      </c>
      <c r="B146" s="54">
        <v>2600</v>
      </c>
      <c r="C146" s="65" t="s">
        <v>305</v>
      </c>
      <c r="D146" s="66" t="s">
        <v>790</v>
      </c>
      <c r="E146" s="53" t="s">
        <v>307</v>
      </c>
      <c r="F146" s="29" t="s">
        <v>558</v>
      </c>
      <c r="G146" s="33">
        <v>75</v>
      </c>
      <c r="H146" s="34">
        <v>95</v>
      </c>
      <c r="I146" s="34">
        <v>25</v>
      </c>
      <c r="J146" s="34">
        <v>19</v>
      </c>
      <c r="K146" s="32"/>
      <c r="L146" s="37" t="str">
        <f t="shared" si="0"/>
        <v/>
      </c>
      <c r="M146" s="38"/>
      <c r="N146" s="29" t="s">
        <v>48</v>
      </c>
      <c r="O146" s="29" t="s">
        <v>48</v>
      </c>
    </row>
    <row r="147" spans="1:15" ht="21.75" customHeight="1">
      <c r="A147" s="57">
        <v>138</v>
      </c>
      <c r="B147" s="67">
        <v>2553</v>
      </c>
      <c r="C147" s="55" t="s">
        <v>791</v>
      </c>
      <c r="D147" s="56" t="s">
        <v>792</v>
      </c>
      <c r="E147" s="57" t="s">
        <v>275</v>
      </c>
      <c r="F147" s="26" t="s">
        <v>558</v>
      </c>
      <c r="G147" s="28">
        <v>170</v>
      </c>
      <c r="H147" s="31">
        <v>110</v>
      </c>
      <c r="I147" s="31">
        <v>30</v>
      </c>
      <c r="J147" s="31">
        <v>80</v>
      </c>
      <c r="K147" s="32"/>
      <c r="L147" s="37" t="str">
        <f t="shared" si="0"/>
        <v/>
      </c>
      <c r="M147" s="38"/>
      <c r="N147" s="29" t="s">
        <v>48</v>
      </c>
      <c r="O147" s="29" t="s">
        <v>48</v>
      </c>
    </row>
    <row r="148" spans="1:15" ht="25.5" customHeight="1">
      <c r="A148" s="102" t="s">
        <v>378</v>
      </c>
      <c r="B148" s="103"/>
      <c r="C148" s="103"/>
      <c r="D148" s="103"/>
      <c r="E148" s="103"/>
      <c r="F148" s="104"/>
      <c r="G148" s="47">
        <f t="shared" ref="G148:M148" si="1">SUM(G10:G147)</f>
        <v>5551</v>
      </c>
      <c r="H148" s="47">
        <f t="shared" si="1"/>
        <v>13015</v>
      </c>
      <c r="I148" s="47">
        <f t="shared" si="1"/>
        <v>1839</v>
      </c>
      <c r="J148" s="47">
        <f t="shared" si="1"/>
        <v>893</v>
      </c>
      <c r="K148" s="47">
        <f t="shared" si="1"/>
        <v>0</v>
      </c>
      <c r="L148" s="48">
        <f t="shared" si="1"/>
        <v>0</v>
      </c>
      <c r="M148" s="47">
        <f t="shared" si="1"/>
        <v>0</v>
      </c>
      <c r="N148" s="49"/>
      <c r="O148" s="49"/>
    </row>
    <row r="149" spans="1:15" ht="15.75" customHeight="1"/>
    <row r="150" spans="1:15" ht="15.75" customHeight="1">
      <c r="K150" s="117" t="s">
        <v>389</v>
      </c>
      <c r="L150" s="88"/>
      <c r="M150" s="88"/>
      <c r="N150" s="88"/>
      <c r="O150" s="88"/>
    </row>
    <row r="151" spans="1:15" ht="19.5" customHeight="1">
      <c r="A151" s="115" t="s">
        <v>391</v>
      </c>
      <c r="B151" s="88"/>
      <c r="C151" s="88"/>
      <c r="D151" s="115" t="s">
        <v>392</v>
      </c>
      <c r="E151" s="88"/>
      <c r="F151" s="88"/>
      <c r="G151" s="88"/>
      <c r="H151" s="115" t="s">
        <v>393</v>
      </c>
      <c r="I151" s="88"/>
      <c r="J151" s="88"/>
      <c r="K151" s="115" t="s">
        <v>395</v>
      </c>
      <c r="L151" s="88"/>
      <c r="M151" s="88"/>
      <c r="N151" s="88"/>
      <c r="O151" s="88"/>
    </row>
    <row r="152" spans="1:15" ht="15.75" customHeight="1">
      <c r="A152" s="116" t="s">
        <v>396</v>
      </c>
      <c r="B152" s="88"/>
      <c r="C152" s="88"/>
      <c r="D152" s="116" t="s">
        <v>396</v>
      </c>
      <c r="E152" s="88"/>
      <c r="F152" s="88"/>
      <c r="G152" s="88"/>
      <c r="H152" s="116" t="s">
        <v>396</v>
      </c>
      <c r="I152" s="88"/>
      <c r="J152" s="88"/>
      <c r="K152" s="116" t="s">
        <v>398</v>
      </c>
      <c r="L152" s="88"/>
      <c r="M152" s="88"/>
      <c r="N152" s="88"/>
      <c r="O152" s="88"/>
    </row>
    <row r="153" spans="1:15" ht="15.75" customHeight="1"/>
    <row r="154" spans="1:15" ht="15.75" customHeight="1"/>
    <row r="155" spans="1:15" ht="15.75" customHeight="1"/>
    <row r="156" spans="1:15" ht="15.75" customHeight="1"/>
    <row r="157" spans="1:15" ht="15.75" customHeight="1"/>
    <row r="158" spans="1:15" ht="15.75" customHeight="1"/>
    <row r="159" spans="1:15" ht="15.75" customHeight="1"/>
    <row r="160" spans="1:15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6:O6"/>
    <mergeCell ref="A8:F8"/>
    <mergeCell ref="M8:O8"/>
    <mergeCell ref="A151:C151"/>
    <mergeCell ref="A152:C152"/>
    <mergeCell ref="D152:G152"/>
    <mergeCell ref="H152:J152"/>
    <mergeCell ref="K152:O152"/>
    <mergeCell ref="G8:J8"/>
    <mergeCell ref="K8:L8"/>
    <mergeCell ref="A148:F148"/>
    <mergeCell ref="K150:O150"/>
    <mergeCell ref="D151:G151"/>
    <mergeCell ref="H151:J151"/>
    <mergeCell ref="K151:O151"/>
    <mergeCell ref="A1:F1"/>
    <mergeCell ref="L1:O1"/>
    <mergeCell ref="A2:F2"/>
    <mergeCell ref="A4:O4"/>
    <mergeCell ref="A5:O5"/>
  </mergeCells>
  <pageMargins left="0.7" right="0.7" top="0.75" bottom="0.75" header="0" footer="0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Vật tư Điện công nghiệp</vt:lpstr>
      <vt:lpstr>Thiết bị Điện công nghiệp</vt:lpstr>
      <vt:lpstr>Vật tư Điện tử</vt:lpstr>
      <vt:lpstr>Thiết bị Điện tử</vt:lpstr>
      <vt:lpstr>Vật tư Cơ điện tử</vt:lpstr>
      <vt:lpstr>Thiết bị Cơ điện tử</vt:lpstr>
      <vt:lpstr>Vật tư Nhiệt - Lạnh</vt:lpstr>
      <vt:lpstr>Thiết bị Nhiệt - Lạnh</vt:lpstr>
      <vt:lpstr>Dùng chung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2026-10-08T13:40:41Z</dcterms:created>
  <dcterms:modified xsi:type="dcterms:W3CDTF">2026-10-08T13:40:41Z</dcterms:modified>
</cp:coreProperties>
</file>